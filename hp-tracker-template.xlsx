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eillyorg\iCloudDrive\iCloud~md~obsidian\mreillyorg - dnd - al chars\dm\"/>
    </mc:Choice>
  </mc:AlternateContent>
  <xr:revisionPtr revIDLastSave="0" documentId="13_ncr:1_{C26A75C6-BDB2-4BB0-B9EE-260A4C94F5A1}" xr6:coauthVersionLast="47" xr6:coauthVersionMax="47" xr10:uidLastSave="{00000000-0000-0000-0000-000000000000}"/>
  <bookViews>
    <workbookView xWindow="-110" yWindow="-110" windowWidth="25820" windowHeight="15500" activeTab="1" xr2:uid="{B7F0EF5F-C82E-4619-967A-0DA36F0C153E}"/>
  </bookViews>
  <sheets>
    <sheet name="Readme" sheetId="1" r:id="rId1"/>
    <sheet name="Combat Encounter Template" sheetId="2" r:id="rId2"/>
  </sheets>
  <definedNames>
    <definedName name="StatusConditions">Readme!$A$31:$C$131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C3" i="2" s="1"/>
  <c r="E3" i="2" s="1"/>
  <c r="F3" i="2" s="1"/>
  <c r="G4" i="2"/>
  <c r="C4" i="2" s="1"/>
  <c r="G5" i="2"/>
  <c r="C5" i="2" s="1"/>
  <c r="D5" i="2" s="1"/>
  <c r="G6" i="2"/>
  <c r="C6" i="2" s="1"/>
  <c r="G7" i="2"/>
  <c r="C7" i="2" s="1"/>
  <c r="E7" i="2" s="1"/>
  <c r="F7" i="2" s="1"/>
  <c r="G8" i="2"/>
  <c r="C8" i="2" s="1"/>
  <c r="C9" i="2"/>
  <c r="G9" i="2"/>
  <c r="C10" i="2"/>
  <c r="G10" i="2"/>
  <c r="C11" i="2"/>
  <c r="D11" i="2"/>
  <c r="E11" i="2"/>
  <c r="F11" i="2" s="1"/>
  <c r="G11" i="2"/>
  <c r="C12" i="2"/>
  <c r="D12" i="2" s="1"/>
  <c r="G12" i="2"/>
  <c r="G13" i="2"/>
  <c r="C13" i="2" s="1"/>
  <c r="E13" i="2" s="1"/>
  <c r="F13" i="2" s="1"/>
  <c r="G14" i="2"/>
  <c r="C14" i="2" s="1"/>
  <c r="D14" i="2" s="1"/>
  <c r="C15" i="2"/>
  <c r="G15" i="2"/>
  <c r="G16" i="2"/>
  <c r="C16" i="2" s="1"/>
  <c r="D17" i="2"/>
  <c r="G17" i="2"/>
  <c r="C17" i="2" s="1"/>
  <c r="E17" i="2" s="1"/>
  <c r="F17" i="2" s="1"/>
  <c r="G18" i="2"/>
  <c r="C18" i="2" s="1"/>
  <c r="D19" i="2"/>
  <c r="F19" i="2"/>
  <c r="G19" i="2"/>
  <c r="C19" i="2" s="1"/>
  <c r="E19" i="2" s="1"/>
  <c r="C20" i="2"/>
  <c r="D20" i="2" s="1"/>
  <c r="G20" i="2"/>
  <c r="G21" i="2"/>
  <c r="C21" i="2" s="1"/>
  <c r="G22" i="2"/>
  <c r="C22" i="2" s="1"/>
  <c r="G23" i="2"/>
  <c r="C23" i="2" s="1"/>
  <c r="E23" i="2" s="1"/>
  <c r="F23" i="2" s="1"/>
  <c r="G24" i="2"/>
  <c r="C24" i="2" s="1"/>
  <c r="C25" i="2"/>
  <c r="G25" i="2"/>
  <c r="C26" i="2"/>
  <c r="D26" i="2" s="1"/>
  <c r="E26" i="2"/>
  <c r="F26" i="2" s="1"/>
  <c r="G26" i="2"/>
  <c r="C27" i="2"/>
  <c r="D27" i="2"/>
  <c r="E27" i="2"/>
  <c r="F27" i="2"/>
  <c r="G27" i="2"/>
  <c r="C28" i="2"/>
  <c r="D28" i="2" s="1"/>
  <c r="G28" i="2"/>
  <c r="G29" i="2"/>
  <c r="C29" i="2" s="1"/>
  <c r="E29" i="2" s="1"/>
  <c r="F29" i="2" s="1"/>
  <c r="E30" i="2"/>
  <c r="F30" i="2" s="1"/>
  <c r="G30" i="2"/>
  <c r="C30" i="2" s="1"/>
  <c r="D30" i="2" s="1"/>
  <c r="C31" i="2"/>
  <c r="E31" i="2" s="1"/>
  <c r="F31" i="2" s="1"/>
  <c r="D31" i="2"/>
  <c r="G31" i="2"/>
  <c r="G32" i="2"/>
  <c r="C32" i="2" s="1"/>
  <c r="D33" i="2"/>
  <c r="F33" i="2"/>
  <c r="G33" i="2"/>
  <c r="C33" i="2" s="1"/>
  <c r="E33" i="2" s="1"/>
  <c r="G34" i="2"/>
  <c r="C34" i="2" s="1"/>
  <c r="D35" i="2"/>
  <c r="F35" i="2"/>
  <c r="G35" i="2"/>
  <c r="C35" i="2" s="1"/>
  <c r="E35" i="2" s="1"/>
  <c r="C36" i="2"/>
  <c r="D36" i="2" s="1"/>
  <c r="G36" i="2"/>
  <c r="G37" i="2"/>
  <c r="C37" i="2" s="1"/>
  <c r="C38" i="2"/>
  <c r="D38" i="2" s="1"/>
  <c r="E38" i="2"/>
  <c r="F38" i="2" s="1"/>
  <c r="G38" i="2"/>
  <c r="D39" i="2"/>
  <c r="G39" i="2"/>
  <c r="C39" i="2" s="1"/>
  <c r="E39" i="2" s="1"/>
  <c r="F39" i="2" s="1"/>
  <c r="G40" i="2"/>
  <c r="C40" i="2" s="1"/>
  <c r="C41" i="2"/>
  <c r="G41" i="2"/>
  <c r="C42" i="2"/>
  <c r="D42" i="2" s="1"/>
  <c r="E42" i="2"/>
  <c r="F42" i="2" s="1"/>
  <c r="G42" i="2"/>
  <c r="C43" i="2"/>
  <c r="D43" i="2" s="1"/>
  <c r="E43" i="2"/>
  <c r="F43" i="2"/>
  <c r="G43" i="2"/>
  <c r="C44" i="2"/>
  <c r="D44" i="2" s="1"/>
  <c r="G44" i="2"/>
  <c r="G45" i="2"/>
  <c r="C45" i="2" s="1"/>
  <c r="E45" i="2" s="1"/>
  <c r="F45" i="2" s="1"/>
  <c r="G46" i="2"/>
  <c r="C46" i="2" s="1"/>
  <c r="C47" i="2"/>
  <c r="D47" i="2"/>
  <c r="E47" i="2"/>
  <c r="F47" i="2" s="1"/>
  <c r="G47" i="2"/>
  <c r="G48" i="2"/>
  <c r="C48" i="2" s="1"/>
  <c r="D49" i="2"/>
  <c r="G49" i="2"/>
  <c r="C49" i="2" s="1"/>
  <c r="E49" i="2" s="1"/>
  <c r="F49" i="2" s="1"/>
  <c r="G50" i="2"/>
  <c r="C50" i="2" s="1"/>
  <c r="D51" i="2"/>
  <c r="F51" i="2"/>
  <c r="G51" i="2"/>
  <c r="C51" i="2" s="1"/>
  <c r="E51" i="2" s="1"/>
  <c r="C52" i="2"/>
  <c r="D52" i="2" s="1"/>
  <c r="G52" i="2"/>
  <c r="C53" i="2"/>
  <c r="G53" i="2"/>
  <c r="G54" i="2"/>
  <c r="C54" i="2" s="1"/>
  <c r="F55" i="2"/>
  <c r="G55" i="2"/>
  <c r="C55" i="2" s="1"/>
  <c r="E55" i="2" s="1"/>
  <c r="C56" i="2"/>
  <c r="E56" i="2" s="1"/>
  <c r="F56" i="2" s="1"/>
  <c r="D56" i="2"/>
  <c r="G56" i="2"/>
  <c r="C57" i="2"/>
  <c r="G57" i="2"/>
  <c r="C58" i="2"/>
  <c r="D58" i="2" s="1"/>
  <c r="E58" i="2"/>
  <c r="F58" i="2" s="1"/>
  <c r="G58" i="2"/>
  <c r="C59" i="2"/>
  <c r="D59" i="2"/>
  <c r="E59" i="2"/>
  <c r="F59" i="2"/>
  <c r="G59" i="2"/>
  <c r="C60" i="2"/>
  <c r="D60" i="2" s="1"/>
  <c r="G60" i="2"/>
  <c r="D61" i="2"/>
  <c r="G61" i="2"/>
  <c r="C61" i="2" s="1"/>
  <c r="E61" i="2" s="1"/>
  <c r="F61" i="2" s="1"/>
  <c r="E62" i="2"/>
  <c r="F62" i="2"/>
  <c r="G62" i="2"/>
  <c r="C62" i="2" s="1"/>
  <c r="D62" i="2" s="1"/>
  <c r="C63" i="2"/>
  <c r="E63" i="2" s="1"/>
  <c r="F63" i="2" s="1"/>
  <c r="D63" i="2"/>
  <c r="G63" i="2"/>
  <c r="C64" i="2"/>
  <c r="D64" i="2" s="1"/>
  <c r="E64" i="2"/>
  <c r="F64" i="2" s="1"/>
  <c r="G64" i="2"/>
  <c r="D65" i="2"/>
  <c r="F65" i="2"/>
  <c r="G65" i="2"/>
  <c r="C65" i="2" s="1"/>
  <c r="E65" i="2" s="1"/>
  <c r="G66" i="2"/>
  <c r="C66" i="2" s="1"/>
  <c r="D67" i="2"/>
  <c r="F67" i="2"/>
  <c r="G67" i="2"/>
  <c r="C67" i="2" s="1"/>
  <c r="E67" i="2" s="1"/>
  <c r="C68" i="2"/>
  <c r="D68" i="2" s="1"/>
  <c r="G68" i="2"/>
  <c r="G69" i="2"/>
  <c r="C69" i="2" s="1"/>
  <c r="G70" i="2"/>
  <c r="C70" i="2" s="1"/>
  <c r="G71" i="2"/>
  <c r="C71" i="2" s="1"/>
  <c r="E71" i="2" s="1"/>
  <c r="F71" i="2" s="1"/>
  <c r="C72" i="2"/>
  <c r="E72" i="2" s="1"/>
  <c r="F72" i="2" s="1"/>
  <c r="D72" i="2"/>
  <c r="G72" i="2"/>
  <c r="C73" i="2"/>
  <c r="G73" i="2"/>
  <c r="G74" i="2"/>
  <c r="C74" i="2" s="1"/>
  <c r="C75" i="2"/>
  <c r="D75" i="2" s="1"/>
  <c r="E75" i="2"/>
  <c r="F75" i="2" s="1"/>
  <c r="G75" i="2"/>
  <c r="C76" i="2"/>
  <c r="D76" i="2" s="1"/>
  <c r="G76" i="2"/>
  <c r="D77" i="2"/>
  <c r="G77" i="2"/>
  <c r="C77" i="2" s="1"/>
  <c r="E77" i="2" s="1"/>
  <c r="F77" i="2" s="1"/>
  <c r="D78" i="2"/>
  <c r="E78" i="2"/>
  <c r="F78" i="2"/>
  <c r="G78" i="2"/>
  <c r="C78" i="2" s="1"/>
  <c r="C79" i="2"/>
  <c r="D79" i="2"/>
  <c r="E79" i="2"/>
  <c r="F79" i="2" s="1"/>
  <c r="G79" i="2"/>
  <c r="C80" i="2"/>
  <c r="D80" i="2" s="1"/>
  <c r="E80" i="2"/>
  <c r="F80" i="2" s="1"/>
  <c r="G80" i="2"/>
  <c r="D81" i="2"/>
  <c r="G81" i="2"/>
  <c r="C81" i="2" s="1"/>
  <c r="E81" i="2" s="1"/>
  <c r="F81" i="2" s="1"/>
  <c r="C82" i="2"/>
  <c r="D82" i="2" s="1"/>
  <c r="G82" i="2"/>
  <c r="C83" i="2"/>
  <c r="E83" i="2" s="1"/>
  <c r="F83" i="2" s="1"/>
  <c r="D83" i="2"/>
  <c r="G83" i="2"/>
  <c r="G84" i="2"/>
  <c r="C84" i="2" s="1"/>
  <c r="G85" i="2"/>
  <c r="C85" i="2" s="1"/>
  <c r="E85" i="2" s="1"/>
  <c r="F85" i="2" s="1"/>
  <c r="G86" i="2"/>
  <c r="C86" i="2" s="1"/>
  <c r="D87" i="2"/>
  <c r="F87" i="2"/>
  <c r="G87" i="2"/>
  <c r="C87" i="2" s="1"/>
  <c r="E87" i="2" s="1"/>
  <c r="G88" i="2"/>
  <c r="C88" i="2" s="1"/>
  <c r="C89" i="2"/>
  <c r="E89" i="2" s="1"/>
  <c r="D89" i="2"/>
  <c r="F89" i="2"/>
  <c r="G89" i="2"/>
  <c r="G90" i="2"/>
  <c r="C90" i="2" s="1"/>
  <c r="C91" i="2"/>
  <c r="D91" i="2"/>
  <c r="E91" i="2"/>
  <c r="F91" i="2" s="1"/>
  <c r="G91" i="2"/>
  <c r="G92" i="2"/>
  <c r="C92" i="2" s="1"/>
  <c r="F93" i="2"/>
  <c r="G93" i="2"/>
  <c r="C93" i="2" s="1"/>
  <c r="E93" i="2" s="1"/>
  <c r="C94" i="2"/>
  <c r="D94" i="2"/>
  <c r="E94" i="2"/>
  <c r="F94" i="2"/>
  <c r="G94" i="2"/>
  <c r="C95" i="2"/>
  <c r="E95" i="2" s="1"/>
  <c r="F95" i="2" s="1"/>
  <c r="D95" i="2"/>
  <c r="G95" i="2"/>
  <c r="G96" i="2"/>
  <c r="C96" i="2" s="1"/>
  <c r="G97" i="2"/>
  <c r="C97" i="2" s="1"/>
  <c r="D97" i="2" s="1"/>
  <c r="G98" i="2"/>
  <c r="C98" i="2" s="1"/>
  <c r="C99" i="2"/>
  <c r="E99" i="2" s="1"/>
  <c r="F99" i="2" s="1"/>
  <c r="D99" i="2"/>
  <c r="G99" i="2"/>
  <c r="C100" i="2"/>
  <c r="D100" i="2" s="1"/>
  <c r="G100" i="2"/>
  <c r="G101" i="2"/>
  <c r="C101" i="2" s="1"/>
  <c r="C102" i="2"/>
  <c r="D102" i="2" s="1"/>
  <c r="G102" i="2"/>
  <c r="D103" i="2"/>
  <c r="G103" i="2"/>
  <c r="C103" i="2" s="1"/>
  <c r="E103" i="2" s="1"/>
  <c r="F103" i="2" s="1"/>
  <c r="G104" i="2"/>
  <c r="C104" i="2" s="1"/>
  <c r="C105" i="2"/>
  <c r="G105" i="2"/>
  <c r="C106" i="2"/>
  <c r="D106" i="2" s="1"/>
  <c r="G106" i="2"/>
  <c r="C107" i="2"/>
  <c r="E107" i="2" s="1"/>
  <c r="F107" i="2" s="1"/>
  <c r="D107" i="2"/>
  <c r="G107" i="2"/>
  <c r="C108" i="2"/>
  <c r="D108" i="2" s="1"/>
  <c r="E108" i="2"/>
  <c r="F108" i="2" s="1"/>
  <c r="G108" i="2"/>
  <c r="G109" i="2"/>
  <c r="C109" i="2" s="1"/>
  <c r="E109" i="2" s="1"/>
  <c r="F109" i="2" s="1"/>
  <c r="C110" i="2"/>
  <c r="D110" i="2"/>
  <c r="E110" i="2"/>
  <c r="F110" i="2" s="1"/>
  <c r="G110" i="2"/>
  <c r="C111" i="2"/>
  <c r="G111" i="2"/>
  <c r="G112" i="2"/>
  <c r="C112" i="2" s="1"/>
  <c r="D112" i="2" s="1"/>
  <c r="G113" i="2"/>
  <c r="C113" i="2" s="1"/>
  <c r="E113" i="2" s="1"/>
  <c r="F113" i="2" s="1"/>
  <c r="G114" i="2"/>
  <c r="C114" i="2" s="1"/>
  <c r="C115" i="2"/>
  <c r="E115" i="2" s="1"/>
  <c r="D115" i="2"/>
  <c r="F115" i="2"/>
  <c r="G115" i="2"/>
  <c r="E116" i="2"/>
  <c r="F116" i="2" s="1"/>
  <c r="G116" i="2"/>
  <c r="C116" i="2" s="1"/>
  <c r="D116" i="2" s="1"/>
  <c r="E117" i="2"/>
  <c r="F117" i="2"/>
  <c r="G117" i="2"/>
  <c r="C117" i="2" s="1"/>
  <c r="D117" i="2" s="1"/>
  <c r="C118" i="2"/>
  <c r="D118" i="2" s="1"/>
  <c r="G118" i="2"/>
  <c r="F119" i="2"/>
  <c r="G119" i="2"/>
  <c r="C119" i="2" s="1"/>
  <c r="E119" i="2" s="1"/>
  <c r="E120" i="2"/>
  <c r="F120" i="2" s="1"/>
  <c r="G120" i="2"/>
  <c r="C120" i="2" s="1"/>
  <c r="D120" i="2" s="1"/>
  <c r="C121" i="2"/>
  <c r="E121" i="2" s="1"/>
  <c r="D121" i="2"/>
  <c r="F121" i="2"/>
  <c r="G121" i="2"/>
  <c r="G122" i="2"/>
  <c r="C122" i="2" s="1"/>
  <c r="C123" i="2"/>
  <c r="G123" i="2"/>
  <c r="D124" i="2"/>
  <c r="G124" i="2"/>
  <c r="C124" i="2" s="1"/>
  <c r="E124" i="2" s="1"/>
  <c r="F124" i="2" s="1"/>
  <c r="G125" i="2"/>
  <c r="C125" i="2" s="1"/>
  <c r="D126" i="2"/>
  <c r="G126" i="2"/>
  <c r="C126" i="2" s="1"/>
  <c r="E126" i="2" s="1"/>
  <c r="F126" i="2" s="1"/>
  <c r="C127" i="2"/>
  <c r="D127" i="2"/>
  <c r="E127" i="2"/>
  <c r="F127" i="2"/>
  <c r="G127" i="2"/>
  <c r="C128" i="2"/>
  <c r="G128" i="2"/>
  <c r="E129" i="2"/>
  <c r="F129" i="2" s="1"/>
  <c r="G129" i="2"/>
  <c r="C129" i="2" s="1"/>
  <c r="D129" i="2" s="1"/>
  <c r="C130" i="2"/>
  <c r="D130" i="2"/>
  <c r="E130" i="2"/>
  <c r="F130" i="2" s="1"/>
  <c r="G130" i="2"/>
  <c r="C131" i="2"/>
  <c r="E131" i="2" s="1"/>
  <c r="F131" i="2" s="1"/>
  <c r="D131" i="2"/>
  <c r="G131" i="2"/>
  <c r="C132" i="2"/>
  <c r="G132" i="2"/>
  <c r="G133" i="2"/>
  <c r="C133" i="2" s="1"/>
  <c r="C134" i="2"/>
  <c r="D134" i="2" s="1"/>
  <c r="E134" i="2"/>
  <c r="F134" i="2" s="1"/>
  <c r="G134" i="2"/>
  <c r="D135" i="2"/>
  <c r="G135" i="2"/>
  <c r="C135" i="2" s="1"/>
  <c r="E135" i="2" s="1"/>
  <c r="F135" i="2" s="1"/>
  <c r="D136" i="2"/>
  <c r="F136" i="2"/>
  <c r="G136" i="2"/>
  <c r="C136" i="2" s="1"/>
  <c r="E136" i="2" s="1"/>
  <c r="C137" i="2"/>
  <c r="E137" i="2" s="1"/>
  <c r="F137" i="2"/>
  <c r="G137" i="2"/>
  <c r="G138" i="2"/>
  <c r="C138" i="2" s="1"/>
  <c r="C139" i="2"/>
  <c r="D139" i="2"/>
  <c r="E139" i="2"/>
  <c r="F139" i="2"/>
  <c r="G139" i="2"/>
  <c r="C140" i="2"/>
  <c r="D140" i="2" s="1"/>
  <c r="E140" i="2"/>
  <c r="F140" i="2" s="1"/>
  <c r="G140" i="2"/>
  <c r="D141" i="2"/>
  <c r="F141" i="2"/>
  <c r="G141" i="2"/>
  <c r="C141" i="2" s="1"/>
  <c r="E141" i="2" s="1"/>
  <c r="C142" i="2"/>
  <c r="E142" i="2" s="1"/>
  <c r="F142" i="2" s="1"/>
  <c r="D142" i="2"/>
  <c r="G142" i="2"/>
  <c r="C143" i="2"/>
  <c r="D143" i="2" s="1"/>
  <c r="G143" i="2"/>
  <c r="G144" i="2"/>
  <c r="C144" i="2" s="1"/>
  <c r="G145" i="2"/>
  <c r="C145" i="2" s="1"/>
  <c r="D145" i="2" s="1"/>
  <c r="C146" i="2"/>
  <c r="E146" i="2" s="1"/>
  <c r="F146" i="2" s="1"/>
  <c r="D146" i="2"/>
  <c r="G146" i="2"/>
  <c r="D147" i="2"/>
  <c r="F147" i="2"/>
  <c r="G147" i="2"/>
  <c r="C147" i="2" s="1"/>
  <c r="E147" i="2" s="1"/>
  <c r="C148" i="2"/>
  <c r="G148" i="2"/>
  <c r="G149" i="2"/>
  <c r="C149" i="2" s="1"/>
  <c r="D149" i="2" s="1"/>
  <c r="C150" i="2"/>
  <c r="G150" i="2"/>
  <c r="D151" i="2"/>
  <c r="G151" i="2"/>
  <c r="C151" i="2" s="1"/>
  <c r="E151" i="2" s="1"/>
  <c r="F151" i="2" s="1"/>
  <c r="G152" i="2"/>
  <c r="C152" i="2" s="1"/>
  <c r="E152" i="2" s="1"/>
  <c r="F152" i="2" s="1"/>
  <c r="C153" i="2"/>
  <c r="E153" i="2" s="1"/>
  <c r="F153" i="2" s="1"/>
  <c r="G153" i="2"/>
  <c r="G154" i="2"/>
  <c r="C154" i="2" s="1"/>
  <c r="G155" i="2"/>
  <c r="C155" i="2" s="1"/>
  <c r="C156" i="2"/>
  <c r="G156" i="2"/>
  <c r="G157" i="2"/>
  <c r="C157" i="2" s="1"/>
  <c r="E157" i="2" s="1"/>
  <c r="F157" i="2" s="1"/>
  <c r="C158" i="2"/>
  <c r="D158" i="2"/>
  <c r="E158" i="2"/>
  <c r="F158" i="2" s="1"/>
  <c r="G158" i="2"/>
  <c r="C159" i="2"/>
  <c r="D159" i="2" s="1"/>
  <c r="G159" i="2"/>
  <c r="G160" i="2"/>
  <c r="C160" i="2" s="1"/>
  <c r="D160" i="2" s="1"/>
  <c r="D161" i="2"/>
  <c r="E161" i="2"/>
  <c r="F161" i="2" s="1"/>
  <c r="G161" i="2"/>
  <c r="C161" i="2" s="1"/>
  <c r="C162" i="2"/>
  <c r="D162" i="2"/>
  <c r="E162" i="2"/>
  <c r="F162" i="2" s="1"/>
  <c r="G162" i="2"/>
  <c r="D163" i="2"/>
  <c r="F163" i="2"/>
  <c r="G163" i="2"/>
  <c r="C163" i="2" s="1"/>
  <c r="E163" i="2" s="1"/>
  <c r="C164" i="2"/>
  <c r="G164" i="2"/>
  <c r="C165" i="2"/>
  <c r="E165" i="2" s="1"/>
  <c r="F165" i="2" s="1"/>
  <c r="D165" i="2"/>
  <c r="G165" i="2"/>
  <c r="C166" i="2"/>
  <c r="D166" i="2" s="1"/>
  <c r="G166" i="2"/>
  <c r="D167" i="2"/>
  <c r="G167" i="2"/>
  <c r="C167" i="2" s="1"/>
  <c r="E167" i="2" s="1"/>
  <c r="F167" i="2" s="1"/>
  <c r="D168" i="2"/>
  <c r="F168" i="2"/>
  <c r="G168" i="2"/>
  <c r="C168" i="2" s="1"/>
  <c r="E168" i="2" s="1"/>
  <c r="C169" i="2"/>
  <c r="E169" i="2" s="1"/>
  <c r="D169" i="2"/>
  <c r="F169" i="2"/>
  <c r="G169" i="2"/>
  <c r="G170" i="2"/>
  <c r="C170" i="2" s="1"/>
  <c r="G171" i="2"/>
  <c r="C171" i="2" s="1"/>
  <c r="C172" i="2"/>
  <c r="D172" i="2" s="1"/>
  <c r="G172" i="2"/>
  <c r="G173" i="2"/>
  <c r="C173" i="2" s="1"/>
  <c r="E173" i="2" s="1"/>
  <c r="F173" i="2" s="1"/>
  <c r="C174" i="2"/>
  <c r="D174" i="2" s="1"/>
  <c r="G174" i="2"/>
  <c r="C175" i="2"/>
  <c r="D175" i="2" s="1"/>
  <c r="G175" i="2"/>
  <c r="G176" i="2"/>
  <c r="C176" i="2" s="1"/>
  <c r="D176" i="2" s="1"/>
  <c r="G177" i="2"/>
  <c r="C177" i="2" s="1"/>
  <c r="D177" i="2" s="1"/>
  <c r="C178" i="2"/>
  <c r="D178" i="2" s="1"/>
  <c r="E178" i="2"/>
  <c r="F178" i="2" s="1"/>
  <c r="G178" i="2"/>
  <c r="D179" i="2"/>
  <c r="F179" i="2"/>
  <c r="G179" i="2"/>
  <c r="C179" i="2" s="1"/>
  <c r="E179" i="2" s="1"/>
  <c r="C180" i="2"/>
  <c r="G180" i="2"/>
  <c r="C181" i="2"/>
  <c r="E181" i="2" s="1"/>
  <c r="F181" i="2" s="1"/>
  <c r="D181" i="2"/>
  <c r="G181" i="2"/>
  <c r="C182" i="2"/>
  <c r="D182" i="2" s="1"/>
  <c r="E182" i="2"/>
  <c r="F182" i="2" s="1"/>
  <c r="G182" i="2"/>
  <c r="G183" i="2"/>
  <c r="C183" i="2" s="1"/>
  <c r="E183" i="2" s="1"/>
  <c r="F183" i="2" s="1"/>
  <c r="D184" i="2"/>
  <c r="G184" i="2"/>
  <c r="C184" i="2" s="1"/>
  <c r="E184" i="2" s="1"/>
  <c r="F184" i="2" s="1"/>
  <c r="C185" i="2"/>
  <c r="E185" i="2" s="1"/>
  <c r="F185" i="2" s="1"/>
  <c r="D185" i="2"/>
  <c r="G185" i="2"/>
  <c r="C186" i="2"/>
  <c r="D186" i="2" s="1"/>
  <c r="E186" i="2"/>
  <c r="F186" i="2" s="1"/>
  <c r="G186" i="2"/>
  <c r="G187" i="2"/>
  <c r="C187" i="2" s="1"/>
  <c r="C188" i="2"/>
  <c r="D188" i="2" s="1"/>
  <c r="E188" i="2"/>
  <c r="F188" i="2" s="1"/>
  <c r="G188" i="2"/>
  <c r="F189" i="2"/>
  <c r="G189" i="2"/>
  <c r="C189" i="2" s="1"/>
  <c r="E189" i="2" s="1"/>
  <c r="C190" i="2"/>
  <c r="D190" i="2"/>
  <c r="E190" i="2"/>
  <c r="F190" i="2"/>
  <c r="G190" i="2"/>
  <c r="C191" i="2"/>
  <c r="D191" i="2" s="1"/>
  <c r="E191" i="2"/>
  <c r="F191" i="2" s="1"/>
  <c r="G191" i="2"/>
  <c r="G192" i="2"/>
  <c r="C192" i="2" s="1"/>
  <c r="D192" i="2" s="1"/>
  <c r="G193" i="2"/>
  <c r="C193" i="2" s="1"/>
  <c r="D193" i="2" s="1"/>
  <c r="C194" i="2"/>
  <c r="D194" i="2" s="1"/>
  <c r="G194" i="2"/>
  <c r="D195" i="2"/>
  <c r="F195" i="2"/>
  <c r="G195" i="2"/>
  <c r="C195" i="2" s="1"/>
  <c r="E195" i="2" s="1"/>
  <c r="C196" i="2"/>
  <c r="G196" i="2"/>
  <c r="G197" i="2"/>
  <c r="C197" i="2" s="1"/>
  <c r="C198" i="2"/>
  <c r="D198" i="2" s="1"/>
  <c r="E198" i="2"/>
  <c r="F198" i="2" s="1"/>
  <c r="G198" i="2"/>
  <c r="D199" i="2"/>
  <c r="E199" i="2"/>
  <c r="F199" i="2"/>
  <c r="G199" i="2"/>
  <c r="C199" i="2" s="1"/>
  <c r="C200" i="2"/>
  <c r="D200" i="2" s="1"/>
  <c r="E200" i="2"/>
  <c r="F200" i="2" s="1"/>
  <c r="G200" i="2"/>
  <c r="C201" i="2"/>
  <c r="G201" i="2"/>
  <c r="C202" i="2"/>
  <c r="D202" i="2" s="1"/>
  <c r="E202" i="2"/>
  <c r="F202" i="2" s="1"/>
  <c r="G202" i="2"/>
  <c r="C203" i="2"/>
  <c r="E203" i="2" s="1"/>
  <c r="F203" i="2" s="1"/>
  <c r="D203" i="2"/>
  <c r="G203" i="2"/>
  <c r="G204" i="2"/>
  <c r="C204" i="2" s="1"/>
  <c r="G205" i="2"/>
  <c r="C205" i="2" s="1"/>
  <c r="E205" i="2" s="1"/>
  <c r="F205" i="2" s="1"/>
  <c r="C206" i="2"/>
  <c r="E206" i="2" s="1"/>
  <c r="F206" i="2" s="1"/>
  <c r="D206" i="2"/>
  <c r="G206" i="2"/>
  <c r="C207" i="2"/>
  <c r="D207" i="2" s="1"/>
  <c r="E207" i="2"/>
  <c r="F207" i="2" s="1"/>
  <c r="G207" i="2"/>
  <c r="E208" i="2"/>
  <c r="F208" i="2" s="1"/>
  <c r="G208" i="2"/>
  <c r="C208" i="2" s="1"/>
  <c r="D208" i="2" s="1"/>
  <c r="E209" i="2"/>
  <c r="F209" i="2"/>
  <c r="G209" i="2"/>
  <c r="C209" i="2" s="1"/>
  <c r="D209" i="2" s="1"/>
  <c r="G210" i="2"/>
  <c r="C210" i="2" s="1"/>
  <c r="G211" i="2"/>
  <c r="C211" i="2" s="1"/>
  <c r="E211" i="2" s="1"/>
  <c r="F211" i="2" s="1"/>
  <c r="G212" i="2"/>
  <c r="C212" i="2" s="1"/>
  <c r="C213" i="2"/>
  <c r="D213" i="2"/>
  <c r="E213" i="2"/>
  <c r="F213" i="2" s="1"/>
  <c r="G213" i="2"/>
  <c r="C214" i="2"/>
  <c r="D214" i="2" s="1"/>
  <c r="E214" i="2"/>
  <c r="F214" i="2" s="1"/>
  <c r="G214" i="2"/>
  <c r="G215" i="2"/>
  <c r="C215" i="2" s="1"/>
  <c r="E215" i="2" s="1"/>
  <c r="F215" i="2" s="1"/>
  <c r="C216" i="2"/>
  <c r="G216" i="2"/>
  <c r="C217" i="2"/>
  <c r="E217" i="2" s="1"/>
  <c r="F217" i="2" s="1"/>
  <c r="G217" i="2"/>
  <c r="G218" i="2"/>
  <c r="C218" i="2" s="1"/>
  <c r="G219" i="2"/>
  <c r="C219" i="2" s="1"/>
  <c r="C220" i="2"/>
  <c r="D220" i="2" s="1"/>
  <c r="G220" i="2"/>
  <c r="D221" i="2"/>
  <c r="G221" i="2"/>
  <c r="C221" i="2" s="1"/>
  <c r="E221" i="2" s="1"/>
  <c r="F221" i="2" s="1"/>
  <c r="C222" i="2"/>
  <c r="E222" i="2" s="1"/>
  <c r="D222" i="2"/>
  <c r="F222" i="2"/>
  <c r="G222" i="2"/>
  <c r="C223" i="2"/>
  <c r="D223" i="2" s="1"/>
  <c r="G223" i="2"/>
  <c r="G224" i="2"/>
  <c r="C224" i="2" s="1"/>
  <c r="C225" i="2"/>
  <c r="G225" i="2"/>
  <c r="D226" i="2"/>
  <c r="F226" i="2"/>
  <c r="G226" i="2"/>
  <c r="C226" i="2" s="1"/>
  <c r="E226" i="2" s="1"/>
  <c r="C227" i="2"/>
  <c r="D227" i="2"/>
  <c r="E227" i="2"/>
  <c r="F227" i="2"/>
  <c r="G227" i="2"/>
  <c r="C228" i="2"/>
  <c r="E228" i="2" s="1"/>
  <c r="F228" i="2" s="1"/>
  <c r="G228" i="2"/>
  <c r="G229" i="2"/>
  <c r="C229" i="2" s="1"/>
  <c r="D229" i="2" s="1"/>
  <c r="G230" i="2"/>
  <c r="C230" i="2" s="1"/>
  <c r="G231" i="2"/>
  <c r="C231" i="2" s="1"/>
  <c r="D231" i="2" s="1"/>
  <c r="C232" i="2"/>
  <c r="G232" i="2"/>
  <c r="C233" i="2"/>
  <c r="E233" i="2" s="1"/>
  <c r="F233" i="2" s="1"/>
  <c r="D233" i="2"/>
  <c r="G233" i="2"/>
  <c r="G234" i="2"/>
  <c r="C234" i="2" s="1"/>
  <c r="D234" i="2" s="1"/>
  <c r="C235" i="2"/>
  <c r="D235" i="2" s="1"/>
  <c r="G235" i="2"/>
  <c r="C236" i="2"/>
  <c r="D236" i="2" s="1"/>
  <c r="E236" i="2"/>
  <c r="F236" i="2" s="1"/>
  <c r="G236" i="2"/>
  <c r="G237" i="2"/>
  <c r="C237" i="2" s="1"/>
  <c r="E237" i="2" s="1"/>
  <c r="F237" i="2" s="1"/>
  <c r="G238" i="2"/>
  <c r="C238" i="2" s="1"/>
  <c r="C239" i="2"/>
  <c r="D239" i="2"/>
  <c r="E239" i="2"/>
  <c r="F239" i="2" s="1"/>
  <c r="G239" i="2"/>
  <c r="C240" i="2"/>
  <c r="D240" i="2" s="1"/>
  <c r="E240" i="2"/>
  <c r="F240" i="2" s="1"/>
  <c r="G240" i="2"/>
  <c r="G241" i="2"/>
  <c r="C241" i="2" s="1"/>
  <c r="G242" i="2"/>
  <c r="C242" i="2" s="1"/>
  <c r="C243" i="2"/>
  <c r="D243" i="2"/>
  <c r="E243" i="2"/>
  <c r="F243" i="2"/>
  <c r="G243" i="2"/>
  <c r="G244" i="2"/>
  <c r="C244" i="2" s="1"/>
  <c r="E244" i="2" s="1"/>
  <c r="F244" i="2" s="1"/>
  <c r="G245" i="2"/>
  <c r="C245" i="2" s="1"/>
  <c r="C246" i="2"/>
  <c r="D246" i="2" s="1"/>
  <c r="E246" i="2"/>
  <c r="F246" i="2" s="1"/>
  <c r="G246" i="2"/>
  <c r="D247" i="2"/>
  <c r="E247" i="2"/>
  <c r="F247" i="2"/>
  <c r="G247" i="2"/>
  <c r="C247" i="2" s="1"/>
  <c r="G248" i="2"/>
  <c r="C248" i="2" s="1"/>
  <c r="C249" i="2"/>
  <c r="E249" i="2" s="1"/>
  <c r="F249" i="2"/>
  <c r="G249" i="2"/>
  <c r="C250" i="2"/>
  <c r="D250" i="2" s="1"/>
  <c r="G250" i="2"/>
  <c r="C251" i="2"/>
  <c r="E251" i="2" s="1"/>
  <c r="F251" i="2" s="1"/>
  <c r="D251" i="2"/>
  <c r="G251" i="2"/>
  <c r="C252" i="2"/>
  <c r="G252" i="2"/>
  <c r="F253" i="2"/>
  <c r="G253" i="2"/>
  <c r="C253" i="2" s="1"/>
  <c r="E253" i="2" s="1"/>
  <c r="C254" i="2"/>
  <c r="E254" i="2" s="1"/>
  <c r="F254" i="2" s="1"/>
  <c r="G254" i="2"/>
  <c r="C255" i="2"/>
  <c r="D255" i="2" s="1"/>
  <c r="E255" i="2"/>
  <c r="F255" i="2" s="1"/>
  <c r="G255" i="2"/>
  <c r="G256" i="2"/>
  <c r="C256" i="2" s="1"/>
  <c r="C257" i="2"/>
  <c r="G257" i="2"/>
  <c r="G258" i="2"/>
  <c r="C258" i="2" s="1"/>
  <c r="C259" i="2"/>
  <c r="D259" i="2"/>
  <c r="E259" i="2"/>
  <c r="F259" i="2"/>
  <c r="G259" i="2"/>
  <c r="G260" i="2"/>
  <c r="C260" i="2" s="1"/>
  <c r="C261" i="2"/>
  <c r="G261" i="2"/>
  <c r="C262" i="2"/>
  <c r="D262" i="2" s="1"/>
  <c r="E262" i="2"/>
  <c r="F262" i="2" s="1"/>
  <c r="G262" i="2"/>
  <c r="G263" i="2"/>
  <c r="C263" i="2" s="1"/>
  <c r="D263" i="2" s="1"/>
  <c r="G264" i="2"/>
  <c r="C264" i="2" s="1"/>
  <c r="D264" i="2" s="1"/>
  <c r="C265" i="2"/>
  <c r="E265" i="2" s="1"/>
  <c r="D265" i="2"/>
  <c r="F265" i="2"/>
  <c r="G265" i="2"/>
  <c r="E266" i="2"/>
  <c r="F266" i="2" s="1"/>
  <c r="G266" i="2"/>
  <c r="C266" i="2" s="1"/>
  <c r="D266" i="2" s="1"/>
  <c r="G267" i="2"/>
  <c r="C267" i="2" s="1"/>
  <c r="C268" i="2"/>
  <c r="D268" i="2" s="1"/>
  <c r="E268" i="2"/>
  <c r="F268" i="2" s="1"/>
  <c r="G268" i="2"/>
  <c r="G269" i="2"/>
  <c r="C269" i="2" s="1"/>
  <c r="G270" i="2"/>
  <c r="C270" i="2" s="1"/>
  <c r="E270" i="2" s="1"/>
  <c r="F270" i="2" s="1"/>
  <c r="C271" i="2"/>
  <c r="E271" i="2" s="1"/>
  <c r="F271" i="2" s="1"/>
  <c r="D271" i="2"/>
  <c r="G271" i="2"/>
  <c r="C272" i="2"/>
  <c r="D272" i="2" s="1"/>
  <c r="E272" i="2"/>
  <c r="F272" i="2" s="1"/>
  <c r="G272" i="2"/>
  <c r="E273" i="2"/>
  <c r="F273" i="2" s="1"/>
  <c r="G273" i="2"/>
  <c r="C273" i="2" s="1"/>
  <c r="D273" i="2" s="1"/>
  <c r="G274" i="2"/>
  <c r="C274" i="2" s="1"/>
  <c r="D274" i="2" s="1"/>
  <c r="C275" i="2"/>
  <c r="D275" i="2"/>
  <c r="E275" i="2"/>
  <c r="F275" i="2"/>
  <c r="G275" i="2"/>
  <c r="G276" i="2"/>
  <c r="C276" i="2" s="1"/>
  <c r="G277" i="2"/>
  <c r="C277" i="2" s="1"/>
  <c r="G278" i="2"/>
  <c r="C278" i="2" s="1"/>
  <c r="D278" i="2" s="1"/>
  <c r="D279" i="2"/>
  <c r="E279" i="2"/>
  <c r="F279" i="2"/>
  <c r="G279" i="2"/>
  <c r="C279" i="2" s="1"/>
  <c r="G280" i="2"/>
  <c r="C280" i="2" s="1"/>
  <c r="D280" i="2" s="1"/>
  <c r="C281" i="2"/>
  <c r="E281" i="2" s="1"/>
  <c r="D281" i="2"/>
  <c r="F281" i="2"/>
  <c r="G281" i="2"/>
  <c r="C282" i="2"/>
  <c r="D282" i="2" s="1"/>
  <c r="G282" i="2"/>
  <c r="C283" i="2"/>
  <c r="E283" i="2" s="1"/>
  <c r="F283" i="2" s="1"/>
  <c r="G283" i="2"/>
  <c r="C284" i="2"/>
  <c r="D284" i="2" s="1"/>
  <c r="E284" i="2"/>
  <c r="F284" i="2" s="1"/>
  <c r="G284" i="2"/>
  <c r="D285" i="2"/>
  <c r="F285" i="2"/>
  <c r="G285" i="2"/>
  <c r="C285" i="2" s="1"/>
  <c r="E285" i="2" s="1"/>
  <c r="G286" i="2"/>
  <c r="C286" i="2" s="1"/>
  <c r="C287" i="2"/>
  <c r="G287" i="2"/>
  <c r="C288" i="2"/>
  <c r="D288" i="2" s="1"/>
  <c r="E288" i="2"/>
  <c r="F288" i="2" s="1"/>
  <c r="G288" i="2"/>
  <c r="C289" i="2"/>
  <c r="D289" i="2"/>
  <c r="E289" i="2"/>
  <c r="F289" i="2" s="1"/>
  <c r="G289" i="2"/>
  <c r="C290" i="2"/>
  <c r="D290" i="2"/>
  <c r="E290" i="2"/>
  <c r="F290" i="2" s="1"/>
  <c r="G290" i="2"/>
  <c r="C291" i="2"/>
  <c r="D291" i="2"/>
  <c r="E291" i="2"/>
  <c r="F291" i="2"/>
  <c r="G291" i="2"/>
  <c r="D292" i="2"/>
  <c r="G292" i="2"/>
  <c r="C292" i="2" s="1"/>
  <c r="E292" i="2" s="1"/>
  <c r="F292" i="2" s="1"/>
  <c r="G293" i="2"/>
  <c r="C293" i="2" s="1"/>
  <c r="G294" i="2"/>
  <c r="C294" i="2" s="1"/>
  <c r="D295" i="2"/>
  <c r="E295" i="2"/>
  <c r="F295" i="2"/>
  <c r="G295" i="2"/>
  <c r="C295" i="2" s="1"/>
  <c r="G296" i="2"/>
  <c r="C296" i="2" s="1"/>
  <c r="C297" i="2"/>
  <c r="G297" i="2"/>
  <c r="G298" i="2"/>
  <c r="C298" i="2" s="1"/>
  <c r="G299" i="2"/>
  <c r="C299" i="2" s="1"/>
  <c r="G300" i="2"/>
  <c r="C300" i="2" s="1"/>
  <c r="D300" i="2" s="1"/>
  <c r="G301" i="2"/>
  <c r="C301" i="2" s="1"/>
  <c r="E301" i="2" s="1"/>
  <c r="F301" i="2" s="1"/>
  <c r="G302" i="2"/>
  <c r="C302" i="2" s="1"/>
  <c r="C303" i="2"/>
  <c r="D303" i="2" s="1"/>
  <c r="G303" i="2"/>
  <c r="G304" i="2"/>
  <c r="C304" i="2" s="1"/>
  <c r="C305" i="2"/>
  <c r="D305" i="2" s="1"/>
  <c r="E305" i="2"/>
  <c r="F305" i="2" s="1"/>
  <c r="G305" i="2"/>
  <c r="C306" i="2"/>
  <c r="D306" i="2"/>
  <c r="E306" i="2"/>
  <c r="F306" i="2"/>
  <c r="G306" i="2"/>
  <c r="C307" i="2"/>
  <c r="D307" i="2"/>
  <c r="E307" i="2"/>
  <c r="F307" i="2"/>
  <c r="G307" i="2"/>
  <c r="C308" i="2"/>
  <c r="D308" i="2" s="1"/>
  <c r="G308" i="2"/>
  <c r="G309" i="2"/>
  <c r="C309" i="2" s="1"/>
  <c r="D309" i="2" s="1"/>
  <c r="E310" i="2"/>
  <c r="F310" i="2" s="1"/>
  <c r="G310" i="2"/>
  <c r="C310" i="2" s="1"/>
  <c r="D310" i="2" s="1"/>
  <c r="G311" i="2"/>
  <c r="C311" i="2" s="1"/>
  <c r="D311" i="2" s="1"/>
  <c r="C312" i="2"/>
  <c r="D312" i="2" s="1"/>
  <c r="E312" i="2"/>
  <c r="F312" i="2" s="1"/>
  <c r="G312" i="2"/>
  <c r="C313" i="2"/>
  <c r="E313" i="2" s="1"/>
  <c r="D313" i="2"/>
  <c r="F313" i="2"/>
  <c r="G313" i="2"/>
  <c r="G314" i="2"/>
  <c r="C314" i="2" s="1"/>
  <c r="D314" i="2" s="1"/>
  <c r="C315" i="2"/>
  <c r="G315" i="2"/>
  <c r="C316" i="2"/>
  <c r="G316" i="2"/>
  <c r="D317" i="2"/>
  <c r="G317" i="2"/>
  <c r="C317" i="2" s="1"/>
  <c r="E317" i="2" s="1"/>
  <c r="F317" i="2" s="1"/>
  <c r="G318" i="2"/>
  <c r="C318" i="2" s="1"/>
  <c r="D318" i="2" s="1"/>
  <c r="C319" i="2"/>
  <c r="D319" i="2" s="1"/>
  <c r="E319" i="2"/>
  <c r="F319" i="2" s="1"/>
  <c r="G319" i="2"/>
  <c r="G320" i="2"/>
  <c r="C320" i="2" s="1"/>
  <c r="G321" i="2"/>
  <c r="C321" i="2" s="1"/>
  <c r="G322" i="2"/>
  <c r="C322" i="2" s="1"/>
  <c r="G323" i="2"/>
  <c r="C323" i="2" s="1"/>
  <c r="E323" i="2" s="1"/>
  <c r="F323" i="2" s="1"/>
  <c r="G324" i="2"/>
  <c r="C324" i="2" s="1"/>
  <c r="G325" i="2"/>
  <c r="C325" i="2" s="1"/>
  <c r="G326" i="2"/>
  <c r="C326" i="2" s="1"/>
  <c r="D327" i="2"/>
  <c r="E327" i="2"/>
  <c r="F327" i="2" s="1"/>
  <c r="G327" i="2"/>
  <c r="C327" i="2" s="1"/>
  <c r="C328" i="2"/>
  <c r="D328" i="2"/>
  <c r="E328" i="2"/>
  <c r="F328" i="2"/>
  <c r="G328" i="2"/>
  <c r="G329" i="2"/>
  <c r="C329" i="2" s="1"/>
  <c r="G330" i="2"/>
  <c r="C330" i="2" s="1"/>
  <c r="G331" i="2"/>
  <c r="C331" i="2" s="1"/>
  <c r="C332" i="2"/>
  <c r="E332" i="2" s="1"/>
  <c r="F332" i="2" s="1"/>
  <c r="G332" i="2"/>
  <c r="C333" i="2"/>
  <c r="E333" i="2" s="1"/>
  <c r="F333" i="2" s="1"/>
  <c r="D333" i="2"/>
  <c r="G333" i="2"/>
  <c r="C334" i="2"/>
  <c r="D334" i="2"/>
  <c r="E334" i="2"/>
  <c r="F334" i="2" s="1"/>
  <c r="G334" i="2"/>
  <c r="C335" i="2"/>
  <c r="D335" i="2"/>
  <c r="E335" i="2"/>
  <c r="F335" i="2"/>
  <c r="G335" i="2"/>
  <c r="D336" i="2"/>
  <c r="E336" i="2"/>
  <c r="F336" i="2" s="1"/>
  <c r="G336" i="2"/>
  <c r="C336" i="2" s="1"/>
  <c r="C337" i="2"/>
  <c r="G337" i="2"/>
  <c r="C338" i="2"/>
  <c r="G338" i="2"/>
  <c r="C339" i="2"/>
  <c r="D339" i="2"/>
  <c r="E339" i="2"/>
  <c r="F339" i="2"/>
  <c r="G339" i="2"/>
  <c r="G340" i="2"/>
  <c r="C340" i="2" s="1"/>
  <c r="C341" i="2"/>
  <c r="E341" i="2" s="1"/>
  <c r="F341" i="2" s="1"/>
  <c r="D341" i="2"/>
  <c r="G341" i="2"/>
  <c r="G342" i="2"/>
  <c r="C342" i="2" s="1"/>
  <c r="G343" i="2"/>
  <c r="C343" i="2" s="1"/>
  <c r="C344" i="2"/>
  <c r="D344" i="2" s="1"/>
  <c r="G344" i="2"/>
  <c r="E345" i="2"/>
  <c r="F345" i="2"/>
  <c r="G345" i="2"/>
  <c r="C345" i="2" s="1"/>
  <c r="D345" i="2" s="1"/>
  <c r="G346" i="2"/>
  <c r="C346" i="2" s="1"/>
  <c r="D346" i="2" s="1"/>
  <c r="G347" i="2"/>
  <c r="C347" i="2" s="1"/>
  <c r="G348" i="2"/>
  <c r="C348" i="2" s="1"/>
  <c r="C349" i="2"/>
  <c r="D349" i="2" s="1"/>
  <c r="E349" i="2"/>
  <c r="F349" i="2" s="1"/>
  <c r="G349" i="2"/>
  <c r="G350" i="2"/>
  <c r="C350" i="2" s="1"/>
  <c r="G351" i="2"/>
  <c r="C351" i="2" s="1"/>
  <c r="G352" i="2"/>
  <c r="C352" i="2" s="1"/>
  <c r="E352" i="2" s="1"/>
  <c r="F352" i="2" s="1"/>
  <c r="C353" i="2"/>
  <c r="D353" i="2"/>
  <c r="E353" i="2"/>
  <c r="F353" i="2" s="1"/>
  <c r="G353" i="2"/>
  <c r="G354" i="2"/>
  <c r="C354" i="2" s="1"/>
  <c r="G355" i="2"/>
  <c r="C355" i="2" s="1"/>
  <c r="D356" i="2"/>
  <c r="E356" i="2"/>
  <c r="F356" i="2" s="1"/>
  <c r="G356" i="2"/>
  <c r="C356" i="2" s="1"/>
  <c r="C357" i="2"/>
  <c r="E357" i="2" s="1"/>
  <c r="F357" i="2" s="1"/>
  <c r="D357" i="2"/>
  <c r="G357" i="2"/>
  <c r="C358" i="2"/>
  <c r="D358" i="2"/>
  <c r="E358" i="2"/>
  <c r="F358" i="2" s="1"/>
  <c r="G358" i="2"/>
  <c r="G359" i="2"/>
  <c r="C359" i="2" s="1"/>
  <c r="C360" i="2"/>
  <c r="D360" i="2"/>
  <c r="E360" i="2"/>
  <c r="F360" i="2"/>
  <c r="G360" i="2"/>
  <c r="G361" i="2"/>
  <c r="C361" i="2" s="1"/>
  <c r="D361" i="2" s="1"/>
  <c r="E362" i="2"/>
  <c r="F362" i="2" s="1"/>
  <c r="G362" i="2"/>
  <c r="C362" i="2" s="1"/>
  <c r="D362" i="2" s="1"/>
  <c r="G363" i="2"/>
  <c r="C363" i="2" s="1"/>
  <c r="D363" i="2" s="1"/>
  <c r="E364" i="2"/>
  <c r="F364" i="2" s="1"/>
  <c r="G364" i="2"/>
  <c r="C364" i="2" s="1"/>
  <c r="D364" i="2" s="1"/>
  <c r="G365" i="2"/>
  <c r="C365" i="2" s="1"/>
  <c r="G366" i="2"/>
  <c r="C366" i="2" s="1"/>
  <c r="C367" i="2"/>
  <c r="D367" i="2" s="1"/>
  <c r="E367" i="2"/>
  <c r="F367" i="2"/>
  <c r="G367" i="2"/>
  <c r="C368" i="2"/>
  <c r="E368" i="2" s="1"/>
  <c r="F368" i="2" s="1"/>
  <c r="D368" i="2"/>
  <c r="G368" i="2"/>
  <c r="G369" i="2"/>
  <c r="C369" i="2" s="1"/>
  <c r="G370" i="2"/>
  <c r="C370" i="2" s="1"/>
  <c r="G371" i="2"/>
  <c r="C371" i="2" s="1"/>
  <c r="C372" i="2"/>
  <c r="G372" i="2"/>
  <c r="G373" i="2"/>
  <c r="C373" i="2" s="1"/>
  <c r="C374" i="2"/>
  <c r="D374" i="2" s="1"/>
  <c r="E374" i="2"/>
  <c r="F374" i="2"/>
  <c r="G374" i="2"/>
  <c r="C375" i="2"/>
  <c r="E375" i="2" s="1"/>
  <c r="F375" i="2" s="1"/>
  <c r="D375" i="2"/>
  <c r="G375" i="2"/>
  <c r="C376" i="2"/>
  <c r="D376" i="2"/>
  <c r="E376" i="2"/>
  <c r="F376" i="2" s="1"/>
  <c r="G376" i="2"/>
  <c r="G377" i="2"/>
  <c r="C377" i="2" s="1"/>
  <c r="G378" i="2"/>
  <c r="C378" i="2" s="1"/>
  <c r="D378" i="2" s="1"/>
  <c r="G379" i="2"/>
  <c r="C379" i="2" s="1"/>
  <c r="E380" i="2"/>
  <c r="F380" i="2" s="1"/>
  <c r="G380" i="2"/>
  <c r="C380" i="2" s="1"/>
  <c r="D380" i="2" s="1"/>
  <c r="G381" i="2"/>
  <c r="C381" i="2" s="1"/>
  <c r="D381" i="2" s="1"/>
  <c r="C382" i="2"/>
  <c r="D382" i="2" s="1"/>
  <c r="E382" i="2"/>
  <c r="F382" i="2" s="1"/>
  <c r="G382" i="2"/>
  <c r="G383" i="2"/>
  <c r="C383" i="2" s="1"/>
  <c r="C384" i="2"/>
  <c r="E384" i="2" s="1"/>
  <c r="F384" i="2" s="1"/>
  <c r="G384" i="2"/>
  <c r="C385" i="2"/>
  <c r="D385" i="2"/>
  <c r="E385" i="2"/>
  <c r="F385" i="2"/>
  <c r="G385" i="2"/>
  <c r="C386" i="2"/>
  <c r="G386" i="2"/>
  <c r="G387" i="2"/>
  <c r="C387" i="2" s="1"/>
  <c r="G388" i="2"/>
  <c r="C388" i="2" s="1"/>
  <c r="G389" i="2"/>
  <c r="C389" i="2" s="1"/>
  <c r="C390" i="2"/>
  <c r="D390" i="2" s="1"/>
  <c r="G390" i="2"/>
  <c r="G391" i="2"/>
  <c r="C391" i="2" s="1"/>
  <c r="C392" i="2"/>
  <c r="D392" i="2"/>
  <c r="E392" i="2"/>
  <c r="F392" i="2" s="1"/>
  <c r="G392" i="2"/>
  <c r="C393" i="2"/>
  <c r="G393" i="2"/>
  <c r="G394" i="2"/>
  <c r="C394" i="2" s="1"/>
  <c r="D394" i="2" s="1"/>
  <c r="G395" i="2"/>
  <c r="C395" i="2" s="1"/>
  <c r="D395" i="2" s="1"/>
  <c r="D396" i="2"/>
  <c r="E396" i="2"/>
  <c r="F396" i="2"/>
  <c r="G396" i="2"/>
  <c r="C396" i="2" s="1"/>
  <c r="G397" i="2"/>
  <c r="C397" i="2" s="1"/>
  <c r="G398" i="2"/>
  <c r="C398" i="2" s="1"/>
  <c r="C399" i="2"/>
  <c r="E399" i="2" s="1"/>
  <c r="F399" i="2" s="1"/>
  <c r="D399" i="2"/>
  <c r="G399" i="2"/>
  <c r="G400" i="2"/>
  <c r="C400" i="2" s="1"/>
  <c r="G401" i="2"/>
  <c r="C401" i="2" s="1"/>
  <c r="G402" i="2"/>
  <c r="C402" i="2" s="1"/>
  <c r="C403" i="2"/>
  <c r="G403" i="2"/>
  <c r="G404" i="2"/>
  <c r="C404" i="2" s="1"/>
  <c r="D405" i="2"/>
  <c r="E405" i="2"/>
  <c r="F405" i="2"/>
  <c r="G405" i="2"/>
  <c r="C405" i="2" s="1"/>
  <c r="C406" i="2"/>
  <c r="E406" i="2" s="1"/>
  <c r="F406" i="2" s="1"/>
  <c r="D406" i="2"/>
  <c r="G406" i="2"/>
  <c r="G407" i="2"/>
  <c r="C407" i="2" s="1"/>
  <c r="G408" i="2"/>
  <c r="C408" i="2" s="1"/>
  <c r="D408" i="2" s="1"/>
  <c r="C409" i="2"/>
  <c r="D409" i="2" s="1"/>
  <c r="G409" i="2"/>
  <c r="G410" i="2"/>
  <c r="C410" i="2" s="1"/>
  <c r="G411" i="2"/>
  <c r="C411" i="2" s="1"/>
  <c r="C412" i="2"/>
  <c r="D412" i="2" s="1"/>
  <c r="G412" i="2"/>
  <c r="G413" i="2"/>
  <c r="C413" i="2" s="1"/>
  <c r="G414" i="2"/>
  <c r="C414" i="2" s="1"/>
  <c r="G415" i="2"/>
  <c r="C415" i="2" s="1"/>
  <c r="G416" i="2"/>
  <c r="C416" i="2" s="1"/>
  <c r="G417" i="2"/>
  <c r="C417" i="2" s="1"/>
  <c r="C418" i="2"/>
  <c r="D418" i="2"/>
  <c r="E418" i="2"/>
  <c r="F418" i="2" s="1"/>
  <c r="G418" i="2"/>
  <c r="C419" i="2"/>
  <c r="G419" i="2"/>
  <c r="G420" i="2"/>
  <c r="C420" i="2" s="1"/>
  <c r="G421" i="2"/>
  <c r="C421" i="2" s="1"/>
  <c r="D421" i="2" s="1"/>
  <c r="C422" i="2"/>
  <c r="E422" i="2" s="1"/>
  <c r="F422" i="2" s="1"/>
  <c r="D422" i="2"/>
  <c r="G422" i="2"/>
  <c r="G423" i="2"/>
  <c r="C423" i="2" s="1"/>
  <c r="G424" i="2"/>
  <c r="C424" i="2" s="1"/>
  <c r="D424" i="2" s="1"/>
  <c r="C425" i="2"/>
  <c r="D425" i="2" s="1"/>
  <c r="G425" i="2"/>
  <c r="G426" i="2"/>
  <c r="C426" i="2" s="1"/>
  <c r="G427" i="2"/>
  <c r="C427" i="2" s="1"/>
  <c r="C428" i="2"/>
  <c r="E428" i="2" s="1"/>
  <c r="F428" i="2" s="1"/>
  <c r="D428" i="2"/>
  <c r="G428" i="2"/>
  <c r="G429" i="2"/>
  <c r="C429" i="2" s="1"/>
  <c r="G430" i="2"/>
  <c r="C430" i="2" s="1"/>
  <c r="C431" i="2"/>
  <c r="E431" i="2" s="1"/>
  <c r="F431" i="2" s="1"/>
  <c r="D431" i="2"/>
  <c r="G431" i="2"/>
  <c r="G432" i="2"/>
  <c r="C432" i="2" s="1"/>
  <c r="G433" i="2"/>
  <c r="C433" i="2" s="1"/>
  <c r="G434" i="2"/>
  <c r="C434" i="2" s="1"/>
  <c r="C435" i="2"/>
  <c r="G435" i="2"/>
  <c r="G436" i="2"/>
  <c r="C436" i="2" s="1"/>
  <c r="D437" i="2"/>
  <c r="E437" i="2"/>
  <c r="F437" i="2"/>
  <c r="G437" i="2"/>
  <c r="C437" i="2" s="1"/>
  <c r="C438" i="2"/>
  <c r="E438" i="2" s="1"/>
  <c r="F438" i="2" s="1"/>
  <c r="D438" i="2"/>
  <c r="G438" i="2"/>
  <c r="G439" i="2"/>
  <c r="C439" i="2" s="1"/>
  <c r="G440" i="2"/>
  <c r="C440" i="2" s="1"/>
  <c r="D440" i="2" s="1"/>
  <c r="C441" i="2"/>
  <c r="D441" i="2" s="1"/>
  <c r="E441" i="2"/>
  <c r="F441" i="2" s="1"/>
  <c r="G441" i="2"/>
  <c r="G442" i="2"/>
  <c r="C442" i="2" s="1"/>
  <c r="G443" i="2"/>
  <c r="C443" i="2" s="1"/>
  <c r="C444" i="2"/>
  <c r="D444" i="2" s="1"/>
  <c r="G444" i="2"/>
  <c r="G445" i="2"/>
  <c r="C445" i="2" s="1"/>
  <c r="G446" i="2"/>
  <c r="C446" i="2" s="1"/>
  <c r="G447" i="2"/>
  <c r="C447" i="2" s="1"/>
  <c r="G448" i="2"/>
  <c r="C448" i="2" s="1"/>
  <c r="G449" i="2"/>
  <c r="C449" i="2" s="1"/>
  <c r="C450" i="2"/>
  <c r="D450" i="2"/>
  <c r="E450" i="2"/>
  <c r="F450" i="2" s="1"/>
  <c r="G450" i="2"/>
  <c r="C451" i="2"/>
  <c r="G451" i="2"/>
  <c r="G452" i="2"/>
  <c r="C452" i="2" s="1"/>
  <c r="G453" i="2"/>
  <c r="C453" i="2" s="1"/>
  <c r="E453" i="2" s="1"/>
  <c r="F453" i="2" s="1"/>
  <c r="C454" i="2"/>
  <c r="E454" i="2" s="1"/>
  <c r="F454" i="2" s="1"/>
  <c r="D454" i="2"/>
  <c r="G454" i="2"/>
  <c r="G455" i="2"/>
  <c r="C455" i="2" s="1"/>
  <c r="G456" i="2"/>
  <c r="C456" i="2" s="1"/>
  <c r="D456" i="2" s="1"/>
  <c r="C457" i="2"/>
  <c r="D457" i="2" s="1"/>
  <c r="G457" i="2"/>
  <c r="G458" i="2"/>
  <c r="C458" i="2" s="1"/>
  <c r="G459" i="2"/>
  <c r="C459" i="2" s="1"/>
  <c r="C460" i="2"/>
  <c r="E460" i="2" s="1"/>
  <c r="F460" i="2" s="1"/>
  <c r="D460" i="2"/>
  <c r="G460" i="2"/>
  <c r="G461" i="2"/>
  <c r="C461" i="2" s="1"/>
  <c r="G462" i="2"/>
  <c r="C462" i="2" s="1"/>
  <c r="C463" i="2"/>
  <c r="E463" i="2" s="1"/>
  <c r="F463" i="2" s="1"/>
  <c r="D463" i="2"/>
  <c r="G463" i="2"/>
  <c r="G464" i="2"/>
  <c r="C464" i="2" s="1"/>
  <c r="G465" i="2"/>
  <c r="C465" i="2" s="1"/>
  <c r="G466" i="2"/>
  <c r="C466" i="2" s="1"/>
  <c r="C467" i="2"/>
  <c r="G467" i="2"/>
  <c r="G468" i="2"/>
  <c r="C468" i="2" s="1"/>
  <c r="D469" i="2"/>
  <c r="E469" i="2"/>
  <c r="F469" i="2"/>
  <c r="G469" i="2"/>
  <c r="C469" i="2" s="1"/>
  <c r="C470" i="2"/>
  <c r="E470" i="2" s="1"/>
  <c r="F470" i="2" s="1"/>
  <c r="D470" i="2"/>
  <c r="G470" i="2"/>
  <c r="G471" i="2"/>
  <c r="C471" i="2" s="1"/>
  <c r="G472" i="2"/>
  <c r="C472" i="2" s="1"/>
  <c r="D472" i="2" s="1"/>
  <c r="C473" i="2"/>
  <c r="D473" i="2" s="1"/>
  <c r="E473" i="2"/>
  <c r="F473" i="2" s="1"/>
  <c r="G473" i="2"/>
  <c r="G474" i="2"/>
  <c r="C474" i="2" s="1"/>
  <c r="G475" i="2"/>
  <c r="C475" i="2" s="1"/>
  <c r="C476" i="2"/>
  <c r="D476" i="2" s="1"/>
  <c r="G476" i="2"/>
  <c r="G477" i="2"/>
  <c r="C477" i="2" s="1"/>
  <c r="G478" i="2"/>
  <c r="C478" i="2" s="1"/>
  <c r="G479" i="2"/>
  <c r="C479" i="2" s="1"/>
  <c r="G480" i="2"/>
  <c r="C480" i="2" s="1"/>
  <c r="G481" i="2"/>
  <c r="C481" i="2" s="1"/>
  <c r="E481" i="2" s="1"/>
  <c r="F481" i="2" s="1"/>
  <c r="C482" i="2"/>
  <c r="E482" i="2" s="1"/>
  <c r="F482" i="2" s="1"/>
  <c r="D482" i="2"/>
  <c r="G482" i="2"/>
  <c r="C483" i="2"/>
  <c r="G483" i="2"/>
  <c r="G484" i="2"/>
  <c r="C484" i="2" s="1"/>
  <c r="D484" i="2" s="1"/>
  <c r="G485" i="2"/>
  <c r="C485" i="2" s="1"/>
  <c r="D485" i="2" s="1"/>
  <c r="C486" i="2"/>
  <c r="E486" i="2" s="1"/>
  <c r="F486" i="2" s="1"/>
  <c r="D486" i="2"/>
  <c r="G486" i="2"/>
  <c r="G487" i="2"/>
  <c r="C487" i="2" s="1"/>
  <c r="C488" i="2"/>
  <c r="D488" i="2" s="1"/>
  <c r="G488" i="2"/>
  <c r="C489" i="2"/>
  <c r="D489" i="2" s="1"/>
  <c r="E489" i="2"/>
  <c r="F489" i="2" s="1"/>
  <c r="G489" i="2"/>
  <c r="G490" i="2"/>
  <c r="C490" i="2" s="1"/>
  <c r="G491" i="2"/>
  <c r="C491" i="2" s="1"/>
  <c r="E491" i="2" s="1"/>
  <c r="F491" i="2" s="1"/>
  <c r="C492" i="2"/>
  <c r="D492" i="2"/>
  <c r="E492" i="2"/>
  <c r="F492" i="2"/>
  <c r="G492" i="2"/>
  <c r="G493" i="2"/>
  <c r="C493" i="2" s="1"/>
  <c r="G494" i="2"/>
  <c r="C494" i="2" s="1"/>
  <c r="G495" i="2"/>
  <c r="C495" i="2" s="1"/>
  <c r="G496" i="2"/>
  <c r="C496" i="2" s="1"/>
  <c r="G497" i="2"/>
  <c r="C497" i="2" s="1"/>
  <c r="D497" i="2" s="1"/>
  <c r="C498" i="2"/>
  <c r="D498" i="2" s="1"/>
  <c r="G498" i="2"/>
  <c r="C499" i="2"/>
  <c r="G499" i="2"/>
  <c r="G500" i="2"/>
  <c r="C500" i="2" s="1"/>
  <c r="D500" i="2" s="1"/>
  <c r="G501" i="2"/>
  <c r="C501" i="2" s="1"/>
  <c r="G2" i="2"/>
  <c r="C2" i="2" s="1"/>
  <c r="E2" i="2" s="1"/>
  <c r="F2" i="2" s="1"/>
  <c r="D260" i="2" l="1"/>
  <c r="E260" i="2"/>
  <c r="F260" i="2" s="1"/>
  <c r="E447" i="2"/>
  <c r="F447" i="2" s="1"/>
  <c r="D447" i="2"/>
  <c r="D494" i="2"/>
  <c r="E494" i="2"/>
  <c r="F494" i="2" s="1"/>
  <c r="D495" i="2"/>
  <c r="E495" i="2"/>
  <c r="F495" i="2" s="1"/>
  <c r="D389" i="2"/>
  <c r="E389" i="2"/>
  <c r="F389" i="2" s="1"/>
  <c r="D170" i="2"/>
  <c r="E170" i="2"/>
  <c r="F170" i="2" s="1"/>
  <c r="E466" i="2"/>
  <c r="F466" i="2" s="1"/>
  <c r="D466" i="2"/>
  <c r="D204" i="2"/>
  <c r="E204" i="2"/>
  <c r="F204" i="2" s="1"/>
  <c r="E434" i="2"/>
  <c r="F434" i="2" s="1"/>
  <c r="D434" i="2"/>
  <c r="D296" i="2"/>
  <c r="E296" i="2"/>
  <c r="F296" i="2" s="1"/>
  <c r="D224" i="2"/>
  <c r="E224" i="2"/>
  <c r="F224" i="2" s="1"/>
  <c r="D340" i="2"/>
  <c r="E340" i="2"/>
  <c r="F340" i="2" s="1"/>
  <c r="D230" i="2"/>
  <c r="E230" i="2"/>
  <c r="F230" i="2" s="1"/>
  <c r="D415" i="2"/>
  <c r="E415" i="2"/>
  <c r="F415" i="2" s="1"/>
  <c r="E371" i="2"/>
  <c r="F371" i="2" s="1"/>
  <c r="D371" i="2"/>
  <c r="D256" i="2"/>
  <c r="E256" i="2"/>
  <c r="F256" i="2" s="1"/>
  <c r="D154" i="2"/>
  <c r="E154" i="2"/>
  <c r="F154" i="2" s="1"/>
  <c r="D501" i="2"/>
  <c r="E501" i="2"/>
  <c r="F501" i="2" s="1"/>
  <c r="D479" i="2"/>
  <c r="E479" i="2"/>
  <c r="F479" i="2" s="1"/>
  <c r="E402" i="2"/>
  <c r="F402" i="2" s="1"/>
  <c r="D402" i="2"/>
  <c r="D225" i="2"/>
  <c r="E225" i="2"/>
  <c r="F225" i="2" s="1"/>
  <c r="D462" i="2"/>
  <c r="E462" i="2"/>
  <c r="F462" i="2" s="1"/>
  <c r="D455" i="2"/>
  <c r="E455" i="2"/>
  <c r="F455" i="2" s="1"/>
  <c r="D467" i="2"/>
  <c r="E467" i="2"/>
  <c r="F467" i="2" s="1"/>
  <c r="D248" i="2"/>
  <c r="E248" i="2"/>
  <c r="F248" i="2" s="1"/>
  <c r="E235" i="2"/>
  <c r="F235" i="2" s="1"/>
  <c r="E229" i="2"/>
  <c r="F229" i="2" s="1"/>
  <c r="D210" i="2"/>
  <c r="E210" i="2"/>
  <c r="F210" i="2" s="1"/>
  <c r="D122" i="2"/>
  <c r="E122" i="2"/>
  <c r="F122" i="2" s="1"/>
  <c r="D101" i="2"/>
  <c r="E101" i="2"/>
  <c r="F101" i="2" s="1"/>
  <c r="D74" i="2"/>
  <c r="E74" i="2"/>
  <c r="F74" i="2" s="1"/>
  <c r="D10" i="2"/>
  <c r="E10" i="2"/>
  <c r="F10" i="2" s="1"/>
  <c r="E297" i="2"/>
  <c r="F297" i="2" s="1"/>
  <c r="D297" i="2"/>
  <c r="D34" i="2"/>
  <c r="E34" i="2"/>
  <c r="F34" i="2" s="1"/>
  <c r="D449" i="2"/>
  <c r="E449" i="2"/>
  <c r="F449" i="2" s="1"/>
  <c r="D417" i="2"/>
  <c r="E417" i="2"/>
  <c r="F417" i="2" s="1"/>
  <c r="D315" i="2"/>
  <c r="E315" i="2"/>
  <c r="F315" i="2" s="1"/>
  <c r="D480" i="2"/>
  <c r="E480" i="2"/>
  <c r="F480" i="2" s="1"/>
  <c r="D416" i="2"/>
  <c r="E416" i="2"/>
  <c r="F416" i="2" s="1"/>
  <c r="D435" i="2"/>
  <c r="E435" i="2"/>
  <c r="F435" i="2" s="1"/>
  <c r="E409" i="2"/>
  <c r="F409" i="2" s="1"/>
  <c r="D403" i="2"/>
  <c r="E403" i="2"/>
  <c r="F403" i="2" s="1"/>
  <c r="D377" i="2"/>
  <c r="E377" i="2"/>
  <c r="F377" i="2" s="1"/>
  <c r="D372" i="2"/>
  <c r="E372" i="2"/>
  <c r="F372" i="2" s="1"/>
  <c r="D321" i="2"/>
  <c r="E321" i="2"/>
  <c r="F321" i="2" s="1"/>
  <c r="D491" i="2"/>
  <c r="D383" i="2"/>
  <c r="E383" i="2"/>
  <c r="F383" i="2" s="1"/>
  <c r="E314" i="2"/>
  <c r="F314" i="2" s="1"/>
  <c r="D241" i="2"/>
  <c r="E241" i="2"/>
  <c r="F241" i="2" s="1"/>
  <c r="E160" i="2"/>
  <c r="F160" i="2" s="1"/>
  <c r="D86" i="2"/>
  <c r="E86" i="2"/>
  <c r="F86" i="2" s="1"/>
  <c r="D54" i="2"/>
  <c r="E54" i="2"/>
  <c r="F54" i="2" s="1"/>
  <c r="D46" i="2"/>
  <c r="E46" i="2"/>
  <c r="F46" i="2" s="1"/>
  <c r="E57" i="2"/>
  <c r="F57" i="2" s="1"/>
  <c r="D57" i="2"/>
  <c r="E456" i="2"/>
  <c r="F456" i="2" s="1"/>
  <c r="D436" i="2"/>
  <c r="E436" i="2"/>
  <c r="F436" i="2" s="1"/>
  <c r="E329" i="2"/>
  <c r="F329" i="2" s="1"/>
  <c r="D329" i="2"/>
  <c r="D359" i="2"/>
  <c r="E359" i="2"/>
  <c r="F359" i="2" s="1"/>
  <c r="D216" i="2"/>
  <c r="E216" i="2"/>
  <c r="F216" i="2" s="1"/>
  <c r="D475" i="2"/>
  <c r="E475" i="2"/>
  <c r="F475" i="2" s="1"/>
  <c r="D430" i="2"/>
  <c r="E430" i="2"/>
  <c r="F430" i="2" s="1"/>
  <c r="E274" i="2"/>
  <c r="F274" i="2" s="1"/>
  <c r="E497" i="2"/>
  <c r="F497" i="2" s="1"/>
  <c r="E474" i="2"/>
  <c r="F474" i="2" s="1"/>
  <c r="D474" i="2"/>
  <c r="D429" i="2"/>
  <c r="E429" i="2"/>
  <c r="F429" i="2" s="1"/>
  <c r="D404" i="2"/>
  <c r="E404" i="2"/>
  <c r="F404" i="2" s="1"/>
  <c r="D373" i="2"/>
  <c r="E373" i="2"/>
  <c r="F373" i="2" s="1"/>
  <c r="D304" i="2"/>
  <c r="E304" i="2"/>
  <c r="F304" i="2" s="1"/>
  <c r="D205" i="2"/>
  <c r="D448" i="2"/>
  <c r="E448" i="2"/>
  <c r="F448" i="2" s="1"/>
  <c r="D365" i="2"/>
  <c r="E365" i="2"/>
  <c r="F365" i="2" s="1"/>
  <c r="D242" i="2"/>
  <c r="E242" i="2"/>
  <c r="F242" i="2" s="1"/>
  <c r="D180" i="2"/>
  <c r="E180" i="2"/>
  <c r="F180" i="2" s="1"/>
  <c r="D66" i="2"/>
  <c r="E66" i="2"/>
  <c r="F66" i="2" s="1"/>
  <c r="E278" i="2"/>
  <c r="F278" i="2" s="1"/>
  <c r="D133" i="2"/>
  <c r="E133" i="2"/>
  <c r="F133" i="2" s="1"/>
  <c r="E73" i="2"/>
  <c r="F73" i="2" s="1"/>
  <c r="D73" i="2"/>
  <c r="D53" i="2"/>
  <c r="E53" i="2"/>
  <c r="F53" i="2" s="1"/>
  <c r="D15" i="2"/>
  <c r="E15" i="2"/>
  <c r="F15" i="2" s="1"/>
  <c r="E9" i="2"/>
  <c r="F9" i="2" s="1"/>
  <c r="D9" i="2"/>
  <c r="E378" i="2"/>
  <c r="F378" i="2" s="1"/>
  <c r="E485" i="2"/>
  <c r="F485" i="2" s="1"/>
  <c r="D427" i="2"/>
  <c r="E427" i="2"/>
  <c r="F427" i="2" s="1"/>
  <c r="D352" i="2"/>
  <c r="E344" i="2"/>
  <c r="F344" i="2" s="1"/>
  <c r="D277" i="2"/>
  <c r="E277" i="2"/>
  <c r="F277" i="2" s="1"/>
  <c r="D197" i="2"/>
  <c r="E197" i="2"/>
  <c r="F197" i="2" s="1"/>
  <c r="E145" i="2"/>
  <c r="F145" i="2" s="1"/>
  <c r="D114" i="2"/>
  <c r="E114" i="2"/>
  <c r="F114" i="2" s="1"/>
  <c r="E25" i="2"/>
  <c r="F25" i="2" s="1"/>
  <c r="D25" i="2"/>
  <c r="D487" i="2"/>
  <c r="E487" i="2"/>
  <c r="F487" i="2" s="1"/>
  <c r="E424" i="2"/>
  <c r="F424" i="2" s="1"/>
  <c r="D330" i="2"/>
  <c r="E330" i="2"/>
  <c r="F330" i="2" s="1"/>
  <c r="D212" i="2"/>
  <c r="E212" i="2"/>
  <c r="F212" i="2" s="1"/>
  <c r="D442" i="2"/>
  <c r="E442" i="2"/>
  <c r="F442" i="2" s="1"/>
  <c r="D397" i="2"/>
  <c r="E397" i="2"/>
  <c r="F397" i="2" s="1"/>
  <c r="E421" i="2"/>
  <c r="F421" i="2" s="1"/>
  <c r="E484" i="2"/>
  <c r="F484" i="2" s="1"/>
  <c r="D478" i="2"/>
  <c r="E478" i="2"/>
  <c r="F478" i="2" s="1"/>
  <c r="E472" i="2"/>
  <c r="F472" i="2" s="1"/>
  <c r="D453" i="2"/>
  <c r="D446" i="2"/>
  <c r="E446" i="2"/>
  <c r="F446" i="2" s="1"/>
  <c r="E440" i="2"/>
  <c r="F440" i="2" s="1"/>
  <c r="D414" i="2"/>
  <c r="E414" i="2"/>
  <c r="F414" i="2" s="1"/>
  <c r="E408" i="2"/>
  <c r="F408" i="2" s="1"/>
  <c r="E395" i="2"/>
  <c r="F395" i="2" s="1"/>
  <c r="D388" i="2"/>
  <c r="E388" i="2"/>
  <c r="F388" i="2" s="1"/>
  <c r="E370" i="2"/>
  <c r="F370" i="2" s="1"/>
  <c r="D370" i="2"/>
  <c r="E363" i="2"/>
  <c r="F363" i="2" s="1"/>
  <c r="D351" i="2"/>
  <c r="E351" i="2"/>
  <c r="F351" i="2" s="1"/>
  <c r="D301" i="2"/>
  <c r="D283" i="2"/>
  <c r="E234" i="2"/>
  <c r="F234" i="2" s="1"/>
  <c r="D215" i="2"/>
  <c r="D150" i="2"/>
  <c r="E150" i="2"/>
  <c r="F150" i="2" s="1"/>
  <c r="E14" i="2"/>
  <c r="F14" i="2" s="1"/>
  <c r="D6" i="2"/>
  <c r="E6" i="2"/>
  <c r="F6" i="2" s="1"/>
  <c r="D379" i="2"/>
  <c r="E379" i="2"/>
  <c r="F379" i="2" s="1"/>
  <c r="D155" i="2"/>
  <c r="E155" i="2"/>
  <c r="F155" i="2" s="1"/>
  <c r="D443" i="2"/>
  <c r="E443" i="2"/>
  <c r="F443" i="2" s="1"/>
  <c r="D355" i="2"/>
  <c r="E355" i="2"/>
  <c r="F355" i="2" s="1"/>
  <c r="D219" i="2"/>
  <c r="E219" i="2"/>
  <c r="F219" i="2" s="1"/>
  <c r="D398" i="2"/>
  <c r="E398" i="2"/>
  <c r="F398" i="2" s="1"/>
  <c r="D286" i="2"/>
  <c r="E286" i="2"/>
  <c r="F286" i="2" s="1"/>
  <c r="E468" i="2"/>
  <c r="F468" i="2" s="1"/>
  <c r="D468" i="2"/>
  <c r="D423" i="2"/>
  <c r="E423" i="2"/>
  <c r="F423" i="2" s="1"/>
  <c r="D391" i="2"/>
  <c r="E391" i="2"/>
  <c r="F391" i="2" s="1"/>
  <c r="D322" i="2"/>
  <c r="E322" i="2"/>
  <c r="F322" i="2" s="1"/>
  <c r="D471" i="2"/>
  <c r="E471" i="2"/>
  <c r="F471" i="2" s="1"/>
  <c r="E458" i="2"/>
  <c r="F458" i="2" s="1"/>
  <c r="D458" i="2"/>
  <c r="D445" i="2"/>
  <c r="E445" i="2"/>
  <c r="F445" i="2" s="1"/>
  <c r="E420" i="2"/>
  <c r="F420" i="2" s="1"/>
  <c r="D420" i="2"/>
  <c r="D413" i="2"/>
  <c r="E413" i="2"/>
  <c r="F413" i="2" s="1"/>
  <c r="D401" i="2"/>
  <c r="E401" i="2"/>
  <c r="F401" i="2" s="1"/>
  <c r="D98" i="2"/>
  <c r="E98" i="2"/>
  <c r="F98" i="2" s="1"/>
  <c r="D37" i="2"/>
  <c r="E37" i="2"/>
  <c r="F37" i="2" s="1"/>
  <c r="D483" i="2"/>
  <c r="E483" i="2"/>
  <c r="F483" i="2" s="1"/>
  <c r="D464" i="2"/>
  <c r="E464" i="2"/>
  <c r="F464" i="2" s="1"/>
  <c r="D432" i="2"/>
  <c r="E432" i="2"/>
  <c r="F432" i="2" s="1"/>
  <c r="D400" i="2"/>
  <c r="E400" i="2"/>
  <c r="F400" i="2" s="1"/>
  <c r="D387" i="2"/>
  <c r="E387" i="2"/>
  <c r="F387" i="2" s="1"/>
  <c r="D343" i="2"/>
  <c r="E343" i="2"/>
  <c r="F343" i="2" s="1"/>
  <c r="D326" i="2"/>
  <c r="E326" i="2"/>
  <c r="F326" i="2" s="1"/>
  <c r="E300" i="2"/>
  <c r="F300" i="2" s="1"/>
  <c r="E264" i="2"/>
  <c r="F264" i="2" s="1"/>
  <c r="D196" i="2"/>
  <c r="E196" i="2"/>
  <c r="F196" i="2" s="1"/>
  <c r="D138" i="2"/>
  <c r="E138" i="2"/>
  <c r="F138" i="2" s="1"/>
  <c r="D22" i="2"/>
  <c r="E22" i="2"/>
  <c r="F22" i="2" s="1"/>
  <c r="D347" i="2"/>
  <c r="E347" i="2"/>
  <c r="F347" i="2" s="1"/>
  <c r="D323" i="2"/>
  <c r="D496" i="2"/>
  <c r="E496" i="2"/>
  <c r="F496" i="2" s="1"/>
  <c r="E500" i="2"/>
  <c r="F500" i="2" s="1"/>
  <c r="D499" i="2"/>
  <c r="E499" i="2"/>
  <c r="F499" i="2" s="1"/>
  <c r="E426" i="2"/>
  <c r="F426" i="2" s="1"/>
  <c r="D426" i="2"/>
  <c r="D369" i="2"/>
  <c r="E369" i="2"/>
  <c r="F369" i="2" s="1"/>
  <c r="D252" i="2"/>
  <c r="E252" i="2"/>
  <c r="F252" i="2" s="1"/>
  <c r="E457" i="2"/>
  <c r="F457" i="2" s="1"/>
  <c r="D451" i="2"/>
  <c r="E451" i="2"/>
  <c r="F451" i="2" s="1"/>
  <c r="E425" i="2"/>
  <c r="F425" i="2" s="1"/>
  <c r="D419" i="2"/>
  <c r="E419" i="2"/>
  <c r="F419" i="2" s="1"/>
  <c r="D393" i="2"/>
  <c r="E393" i="2"/>
  <c r="F393" i="2" s="1"/>
  <c r="E381" i="2"/>
  <c r="F381" i="2" s="1"/>
  <c r="D342" i="2"/>
  <c r="E342" i="2"/>
  <c r="F342" i="2" s="1"/>
  <c r="D325" i="2"/>
  <c r="E325" i="2"/>
  <c r="F325" i="2" s="1"/>
  <c r="E318" i="2"/>
  <c r="F318" i="2" s="1"/>
  <c r="E299" i="2"/>
  <c r="F299" i="2" s="1"/>
  <c r="D299" i="2"/>
  <c r="D245" i="2"/>
  <c r="E245" i="2"/>
  <c r="F245" i="2" s="1"/>
  <c r="E176" i="2"/>
  <c r="F176" i="2" s="1"/>
  <c r="E149" i="2"/>
  <c r="F149" i="2" s="1"/>
  <c r="D90" i="2"/>
  <c r="E90" i="2"/>
  <c r="F90" i="2" s="1"/>
  <c r="D70" i="2"/>
  <c r="E70" i="2"/>
  <c r="F70" i="2" s="1"/>
  <c r="D21" i="2"/>
  <c r="E21" i="2"/>
  <c r="F21" i="2" s="1"/>
  <c r="D411" i="2"/>
  <c r="E411" i="2"/>
  <c r="F411" i="2" s="1"/>
  <c r="D331" i="2"/>
  <c r="E331" i="2"/>
  <c r="F331" i="2" s="1"/>
  <c r="E354" i="2"/>
  <c r="F354" i="2" s="1"/>
  <c r="D354" i="2"/>
  <c r="D261" i="2"/>
  <c r="E261" i="2"/>
  <c r="F261" i="2" s="1"/>
  <c r="D88" i="2"/>
  <c r="E88" i="2"/>
  <c r="F88" i="2" s="1"/>
  <c r="D461" i="2"/>
  <c r="E461" i="2"/>
  <c r="F461" i="2" s="1"/>
  <c r="D410" i="2"/>
  <c r="E410" i="2"/>
  <c r="F410" i="2" s="1"/>
  <c r="E309" i="2"/>
  <c r="F309" i="2" s="1"/>
  <c r="D18" i="2"/>
  <c r="E18" i="2"/>
  <c r="F18" i="2" s="1"/>
  <c r="D211" i="2"/>
  <c r="D459" i="2"/>
  <c r="E459" i="2"/>
  <c r="F459" i="2" s="1"/>
  <c r="D465" i="2"/>
  <c r="E465" i="2"/>
  <c r="F465" i="2" s="1"/>
  <c r="D452" i="2"/>
  <c r="E452" i="2"/>
  <c r="F452" i="2" s="1"/>
  <c r="D433" i="2"/>
  <c r="E433" i="2"/>
  <c r="F433" i="2" s="1"/>
  <c r="D407" i="2"/>
  <c r="E407" i="2"/>
  <c r="F407" i="2" s="1"/>
  <c r="D293" i="2"/>
  <c r="E293" i="2"/>
  <c r="F293" i="2" s="1"/>
  <c r="D144" i="2"/>
  <c r="E144" i="2"/>
  <c r="F144" i="2" s="1"/>
  <c r="E498" i="2"/>
  <c r="F498" i="2" s="1"/>
  <c r="D493" i="2"/>
  <c r="E493" i="2"/>
  <c r="F493" i="2" s="1"/>
  <c r="E488" i="2"/>
  <c r="F488" i="2" s="1"/>
  <c r="E476" i="2"/>
  <c r="F476" i="2" s="1"/>
  <c r="E444" i="2"/>
  <c r="F444" i="2" s="1"/>
  <c r="E412" i="2"/>
  <c r="F412" i="2" s="1"/>
  <c r="E386" i="2"/>
  <c r="F386" i="2" s="1"/>
  <c r="D386" i="2"/>
  <c r="D337" i="2"/>
  <c r="E337" i="2"/>
  <c r="F337" i="2" s="1"/>
  <c r="D270" i="2"/>
  <c r="D238" i="2"/>
  <c r="E238" i="2"/>
  <c r="F238" i="2" s="1"/>
  <c r="E220" i="2"/>
  <c r="F220" i="2" s="1"/>
  <c r="E201" i="2"/>
  <c r="F201" i="2" s="1"/>
  <c r="D201" i="2"/>
  <c r="E105" i="2"/>
  <c r="F105" i="2" s="1"/>
  <c r="D105" i="2"/>
  <c r="E82" i="2"/>
  <c r="F82" i="2" s="1"/>
  <c r="D69" i="2"/>
  <c r="E69" i="2"/>
  <c r="F69" i="2" s="1"/>
  <c r="D50" i="2"/>
  <c r="E50" i="2"/>
  <c r="F50" i="2" s="1"/>
  <c r="D481" i="2"/>
  <c r="D366" i="2"/>
  <c r="E366" i="2"/>
  <c r="F366" i="2" s="1"/>
  <c r="D267" i="2"/>
  <c r="E267" i="2"/>
  <c r="F267" i="2" s="1"/>
  <c r="E490" i="2"/>
  <c r="F490" i="2" s="1"/>
  <c r="D490" i="2"/>
  <c r="D477" i="2"/>
  <c r="E477" i="2"/>
  <c r="F477" i="2" s="1"/>
  <c r="D439" i="2"/>
  <c r="E439" i="2"/>
  <c r="F439" i="2" s="1"/>
  <c r="D350" i="2"/>
  <c r="E350" i="2"/>
  <c r="F350" i="2" s="1"/>
  <c r="D348" i="2"/>
  <c r="E348" i="2"/>
  <c r="F348" i="2" s="1"/>
  <c r="D332" i="2"/>
  <c r="E269" i="2"/>
  <c r="F269" i="2" s="1"/>
  <c r="D269" i="2"/>
  <c r="D257" i="2"/>
  <c r="E257" i="2"/>
  <c r="F257" i="2" s="1"/>
  <c r="D156" i="2"/>
  <c r="E156" i="2"/>
  <c r="F156" i="2" s="1"/>
  <c r="D104" i="2"/>
  <c r="E104" i="2"/>
  <c r="F104" i="2" s="1"/>
  <c r="D8" i="2"/>
  <c r="E8" i="2"/>
  <c r="F8" i="2" s="1"/>
  <c r="E41" i="2"/>
  <c r="F41" i="2" s="1"/>
  <c r="D41" i="2"/>
  <c r="D24" i="2"/>
  <c r="E24" i="2"/>
  <c r="F24" i="2" s="1"/>
  <c r="E250" i="2"/>
  <c r="F250" i="2" s="1"/>
  <c r="D228" i="2"/>
  <c r="E174" i="2"/>
  <c r="F174" i="2" s="1"/>
  <c r="D164" i="2"/>
  <c r="E164" i="2"/>
  <c r="F164" i="2" s="1"/>
  <c r="E125" i="2"/>
  <c r="F125" i="2" s="1"/>
  <c r="D125" i="2"/>
  <c r="D109" i="2"/>
  <c r="D92" i="2"/>
  <c r="E92" i="2"/>
  <c r="F92" i="2" s="1"/>
  <c r="D40" i="2"/>
  <c r="E40" i="2"/>
  <c r="F40" i="2" s="1"/>
  <c r="D13" i="2"/>
  <c r="E308" i="2"/>
  <c r="F308" i="2" s="1"/>
  <c r="D287" i="2"/>
  <c r="E287" i="2"/>
  <c r="F287" i="2" s="1"/>
  <c r="E223" i="2"/>
  <c r="F223" i="2" s="1"/>
  <c r="E194" i="2"/>
  <c r="F194" i="2" s="1"/>
  <c r="D153" i="2"/>
  <c r="D71" i="2"/>
  <c r="D29" i="2"/>
  <c r="D7" i="2"/>
  <c r="D384" i="2"/>
  <c r="E282" i="2"/>
  <c r="F282" i="2" s="1"/>
  <c r="D254" i="2"/>
  <c r="D218" i="2"/>
  <c r="E218" i="2"/>
  <c r="F218" i="2" s="1"/>
  <c r="D148" i="2"/>
  <c r="E148" i="2"/>
  <c r="F148" i="2" s="1"/>
  <c r="E118" i="2"/>
  <c r="F118" i="2" s="1"/>
  <c r="E102" i="2"/>
  <c r="F102" i="2" s="1"/>
  <c r="D45" i="2"/>
  <c r="D23" i="2"/>
  <c r="E394" i="2"/>
  <c r="F394" i="2" s="1"/>
  <c r="D294" i="2"/>
  <c r="E294" i="2"/>
  <c r="F294" i="2" s="1"/>
  <c r="E263" i="2"/>
  <c r="F263" i="2" s="1"/>
  <c r="D249" i="2"/>
  <c r="D237" i="2"/>
  <c r="D217" i="2"/>
  <c r="D189" i="2"/>
  <c r="E97" i="2"/>
  <c r="F97" i="2" s="1"/>
  <c r="D55" i="2"/>
  <c r="E346" i="2"/>
  <c r="F346" i="2" s="1"/>
  <c r="D338" i="2"/>
  <c r="E338" i="2"/>
  <c r="F338" i="2" s="1"/>
  <c r="D316" i="2"/>
  <c r="E316" i="2"/>
  <c r="F316" i="2" s="1"/>
  <c r="D276" i="2"/>
  <c r="E276" i="2"/>
  <c r="F276" i="2" s="1"/>
  <c r="D258" i="2"/>
  <c r="E258" i="2"/>
  <c r="F258" i="2" s="1"/>
  <c r="D232" i="2"/>
  <c r="E232" i="2"/>
  <c r="F232" i="2" s="1"/>
  <c r="D173" i="2"/>
  <c r="D152" i="2"/>
  <c r="D128" i="2"/>
  <c r="E128" i="2"/>
  <c r="F128" i="2" s="1"/>
  <c r="D123" i="2"/>
  <c r="E123" i="2"/>
  <c r="F123" i="2" s="1"/>
  <c r="D113" i="2"/>
  <c r="D96" i="2"/>
  <c r="E96" i="2"/>
  <c r="F96" i="2" s="1"/>
  <c r="D85" i="2"/>
  <c r="D298" i="2"/>
  <c r="E298" i="2"/>
  <c r="F298" i="2" s="1"/>
  <c r="D253" i="2"/>
  <c r="E193" i="2"/>
  <c r="F193" i="2" s="1"/>
  <c r="D84" i="2"/>
  <c r="E84" i="2"/>
  <c r="F84" i="2" s="1"/>
  <c r="D16" i="2"/>
  <c r="E16" i="2"/>
  <c r="F16" i="2" s="1"/>
  <c r="E5" i="2"/>
  <c r="F5" i="2" s="1"/>
  <c r="E390" i="2"/>
  <c r="F390" i="2" s="1"/>
  <c r="E361" i="2"/>
  <c r="F361" i="2" s="1"/>
  <c r="D320" i="2"/>
  <c r="E320" i="2"/>
  <c r="F320" i="2" s="1"/>
  <c r="E303" i="2"/>
  <c r="F303" i="2" s="1"/>
  <c r="E172" i="2"/>
  <c r="F172" i="2" s="1"/>
  <c r="E166" i="2"/>
  <c r="F166" i="2" s="1"/>
  <c r="D157" i="2"/>
  <c r="D137" i="2"/>
  <c r="E112" i="2"/>
  <c r="F112" i="2" s="1"/>
  <c r="D32" i="2"/>
  <c r="E32" i="2"/>
  <c r="F32" i="2" s="1"/>
  <c r="D4" i="2"/>
  <c r="E4" i="2"/>
  <c r="F4" i="2" s="1"/>
  <c r="E311" i="2"/>
  <c r="F311" i="2" s="1"/>
  <c r="D244" i="2"/>
  <c r="E231" i="2"/>
  <c r="F231" i="2" s="1"/>
  <c r="D187" i="2"/>
  <c r="E187" i="2"/>
  <c r="F187" i="2" s="1"/>
  <c r="E177" i="2"/>
  <c r="F177" i="2" s="1"/>
  <c r="D132" i="2"/>
  <c r="E132" i="2"/>
  <c r="F132" i="2" s="1"/>
  <c r="E106" i="2"/>
  <c r="F106" i="2" s="1"/>
  <c r="D48" i="2"/>
  <c r="E48" i="2"/>
  <c r="F48" i="2" s="1"/>
  <c r="D324" i="2"/>
  <c r="E324" i="2"/>
  <c r="F324" i="2" s="1"/>
  <c r="D302" i="2"/>
  <c r="E302" i="2"/>
  <c r="F302" i="2" s="1"/>
  <c r="E280" i="2"/>
  <c r="F280" i="2" s="1"/>
  <c r="E192" i="2"/>
  <c r="F192" i="2" s="1"/>
  <c r="D171" i="2"/>
  <c r="E171" i="2"/>
  <c r="F171" i="2" s="1"/>
  <c r="D111" i="2"/>
  <c r="E111" i="2"/>
  <c r="F111" i="2" s="1"/>
  <c r="D93" i="2"/>
  <c r="E100" i="2"/>
  <c r="F100" i="2" s="1"/>
  <c r="E175" i="2"/>
  <c r="F175" i="2" s="1"/>
  <c r="E159" i="2"/>
  <c r="F159" i="2" s="1"/>
  <c r="E143" i="2"/>
  <c r="F143" i="2" s="1"/>
  <c r="E76" i="2"/>
  <c r="F76" i="2" s="1"/>
  <c r="E60" i="2"/>
  <c r="F60" i="2" s="1"/>
  <c r="E44" i="2"/>
  <c r="F44" i="2" s="1"/>
  <c r="E28" i="2"/>
  <c r="F28" i="2" s="1"/>
  <c r="E12" i="2"/>
  <c r="F12" i="2" s="1"/>
  <c r="E68" i="2"/>
  <c r="F68" i="2" s="1"/>
  <c r="E52" i="2"/>
  <c r="F52" i="2" s="1"/>
  <c r="E36" i="2"/>
  <c r="F36" i="2" s="1"/>
  <c r="E20" i="2"/>
  <c r="F20" i="2" s="1"/>
  <c r="D183" i="2"/>
  <c r="D119" i="2"/>
  <c r="D3" i="2"/>
  <c r="D2" i="2"/>
</calcChain>
</file>

<file path=xl/sharedStrings.xml><?xml version="1.0" encoding="utf-8"?>
<sst xmlns="http://schemas.openxmlformats.org/spreadsheetml/2006/main" count="241" uniqueCount="40">
  <si>
    <t>Conditions</t>
  </si>
  <si>
    <t>Unharmed / Fresh</t>
  </si>
  <si>
    <t>100% to 90%</t>
  </si>
  <si>
    <t>Barely scratched</t>
  </si>
  <si>
    <t>Lightly Wounded</t>
  </si>
  <si>
    <t>89% to 75%</t>
  </si>
  <si>
    <t>Minor cuts, singed fur, dented armor</t>
  </si>
  <si>
    <t>Wounded</t>
  </si>
  <si>
    <t>74% to 50%</t>
  </si>
  <si>
    <t>Breathing harder, visible injuries</t>
  </si>
  <si>
    <t>Bloodied</t>
  </si>
  <si>
    <t>49% to 25%</t>
  </si>
  <si>
    <t>Serious injuries, blood loss, staggered</t>
  </si>
  <si>
    <t>Badly Bloodied / Reeling</t>
  </si>
  <si>
    <t>24% to 10%</t>
  </si>
  <si>
    <t>Limping, cracked scales, struggling</t>
  </si>
  <si>
    <t>Near Death / On Death’s Door</t>
  </si>
  <si>
    <t>9% to 1%</t>
  </si>
  <si>
    <t>One good hit away from collapse</t>
  </si>
  <si>
    <t>Name</t>
  </si>
  <si>
    <t>Min Percent</t>
  </si>
  <si>
    <t>Max Percent</t>
  </si>
  <si>
    <t>Monster</t>
  </si>
  <si>
    <t>Total HP</t>
  </si>
  <si>
    <t>Current HP</t>
  </si>
  <si>
    <t>Percentage Left</t>
  </si>
  <si>
    <t>Status</t>
  </si>
  <si>
    <t>Sum Damage</t>
  </si>
  <si>
    <t>Put hits from here right</t>
  </si>
  <si>
    <t>Damage</t>
  </si>
  <si>
    <t>Dead as a Dodo</t>
  </si>
  <si>
    <t>Worm Food</t>
  </si>
  <si>
    <t>setup encounter with all monsters</t>
  </si>
  <si>
    <t>set total hp</t>
  </si>
  <si>
    <t>as damage hits, add from column H right</t>
  </si>
  <si>
    <t>will change color in column F as HP lowers based on tables below</t>
  </si>
  <si>
    <t>DO NOT CHANGE BELOW HERE OR WILL MESS UP</t>
  </si>
  <si>
    <t>Worm food</t>
  </si>
  <si>
    <t>Duplicate sheet 'Combat Encounter Template' as needed</t>
  </si>
  <si>
    <t>Michael Reilly's D&amp;D Combat Encounter Tracker version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</si>
</sst>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00DA-8590-4CFC-8CC0-DAEEE619B2AB}">
  <dimension ref="A1:E131"/>
  <sheetViews>
    <sheetView workbookViewId="0">
      <selection activeCell="A2" sqref="A2"/>
    </sheetView>
  </sheetViews>
  <sheetFormatPr defaultRowHeight="14"/>
  <cols>
    <col min="1" max="1" width="25.25" bestFit="1" customWidth="1"/>
    <col min="2" max="2" width="22.83203125" bestFit="1" customWidth="1"/>
    <col min="3" max="3" width="13.25" customWidth="1"/>
    <col min="4" max="4" width="11.6640625" bestFit="1" customWidth="1"/>
    <col min="5" max="5" width="31.58203125" bestFit="1" customWidth="1"/>
  </cols>
  <sheetData>
    <row r="1" spans="1:1">
      <c r="A1" t="s">
        <v>39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8" spans="1:1">
      <c r="A8" t="s">
        <v>38</v>
      </c>
    </row>
    <row r="18" spans="1:5">
      <c r="A18" t="s">
        <v>36</v>
      </c>
    </row>
    <row r="21" spans="1:5">
      <c r="A21" t="s">
        <v>0</v>
      </c>
    </row>
    <row r="22" spans="1:5">
      <c r="A22" t="s">
        <v>19</v>
      </c>
      <c r="B22" t="s">
        <v>20</v>
      </c>
      <c r="C22" t="s">
        <v>21</v>
      </c>
    </row>
    <row r="23" spans="1:5">
      <c r="A23" t="s">
        <v>1</v>
      </c>
      <c r="B23">
        <v>90</v>
      </c>
      <c r="C23">
        <v>100</v>
      </c>
      <c r="D23" t="s">
        <v>2</v>
      </c>
      <c r="E23" t="s">
        <v>3</v>
      </c>
    </row>
    <row r="24" spans="1:5">
      <c r="A24" t="s">
        <v>4</v>
      </c>
      <c r="B24">
        <v>75</v>
      </c>
      <c r="C24">
        <v>89</v>
      </c>
      <c r="D24" t="s">
        <v>5</v>
      </c>
      <c r="E24" t="s">
        <v>6</v>
      </c>
    </row>
    <row r="25" spans="1:5">
      <c r="A25" t="s">
        <v>7</v>
      </c>
      <c r="B25">
        <v>50</v>
      </c>
      <c r="C25">
        <v>74</v>
      </c>
      <c r="D25" t="s">
        <v>8</v>
      </c>
      <c r="E25" t="s">
        <v>9</v>
      </c>
    </row>
    <row r="26" spans="1:5">
      <c r="A26" t="s">
        <v>10</v>
      </c>
      <c r="B26">
        <v>25</v>
      </c>
      <c r="C26">
        <v>49</v>
      </c>
      <c r="D26" t="s">
        <v>11</v>
      </c>
      <c r="E26" t="s">
        <v>12</v>
      </c>
    </row>
    <row r="27" spans="1:5">
      <c r="A27" t="s">
        <v>13</v>
      </c>
      <c r="B27">
        <v>10</v>
      </c>
      <c r="C27">
        <v>24</v>
      </c>
      <c r="D27" t="s">
        <v>14</v>
      </c>
      <c r="E27" t="s">
        <v>15</v>
      </c>
    </row>
    <row r="28" spans="1:5">
      <c r="A28" t="s">
        <v>16</v>
      </c>
      <c r="B28">
        <v>1</v>
      </c>
      <c r="C28">
        <v>8</v>
      </c>
      <c r="D28" t="s">
        <v>17</v>
      </c>
      <c r="E28" t="s">
        <v>18</v>
      </c>
    </row>
    <row r="29" spans="1:5">
      <c r="A29" t="s">
        <v>30</v>
      </c>
      <c r="B29">
        <v>0</v>
      </c>
      <c r="C29">
        <v>0</v>
      </c>
      <c r="D29" s="3">
        <v>0</v>
      </c>
      <c r="E29" t="s">
        <v>37</v>
      </c>
    </row>
    <row r="31" spans="1:5">
      <c r="A31">
        <v>0</v>
      </c>
      <c r="B31" t="s">
        <v>30</v>
      </c>
      <c r="C31" t="s">
        <v>31</v>
      </c>
    </row>
    <row r="32" spans="1:5">
      <c r="A32">
        <v>1</v>
      </c>
      <c r="B32" t="s">
        <v>16</v>
      </c>
      <c r="C32" t="s">
        <v>18</v>
      </c>
    </row>
    <row r="33" spans="1:3">
      <c r="A33">
        <v>2</v>
      </c>
      <c r="B33" t="s">
        <v>16</v>
      </c>
      <c r="C33" t="s">
        <v>18</v>
      </c>
    </row>
    <row r="34" spans="1:3">
      <c r="A34">
        <v>3</v>
      </c>
      <c r="B34" t="s">
        <v>16</v>
      </c>
      <c r="C34" t="s">
        <v>18</v>
      </c>
    </row>
    <row r="35" spans="1:3">
      <c r="A35">
        <v>4</v>
      </c>
      <c r="B35" t="s">
        <v>16</v>
      </c>
      <c r="C35" t="s">
        <v>18</v>
      </c>
    </row>
    <row r="36" spans="1:3">
      <c r="A36">
        <v>5</v>
      </c>
      <c r="B36" t="s">
        <v>16</v>
      </c>
      <c r="C36" t="s">
        <v>18</v>
      </c>
    </row>
    <row r="37" spans="1:3">
      <c r="A37">
        <v>6</v>
      </c>
      <c r="B37" t="s">
        <v>16</v>
      </c>
      <c r="C37" t="s">
        <v>18</v>
      </c>
    </row>
    <row r="38" spans="1:3">
      <c r="A38">
        <v>7</v>
      </c>
      <c r="B38" t="s">
        <v>16</v>
      </c>
      <c r="C38" t="s">
        <v>18</v>
      </c>
    </row>
    <row r="39" spans="1:3">
      <c r="A39">
        <v>8</v>
      </c>
      <c r="B39" t="s">
        <v>16</v>
      </c>
      <c r="C39" t="s">
        <v>18</v>
      </c>
    </row>
    <row r="40" spans="1:3">
      <c r="A40">
        <v>9</v>
      </c>
      <c r="B40" t="s">
        <v>16</v>
      </c>
      <c r="C40" t="s">
        <v>18</v>
      </c>
    </row>
    <row r="41" spans="1:3">
      <c r="A41">
        <v>10</v>
      </c>
      <c r="B41" t="s">
        <v>13</v>
      </c>
      <c r="C41" t="s">
        <v>15</v>
      </c>
    </row>
    <row r="42" spans="1:3">
      <c r="A42">
        <v>11</v>
      </c>
      <c r="B42" t="s">
        <v>13</v>
      </c>
      <c r="C42" t="s">
        <v>15</v>
      </c>
    </row>
    <row r="43" spans="1:3">
      <c r="A43">
        <v>12</v>
      </c>
      <c r="B43" t="s">
        <v>13</v>
      </c>
      <c r="C43" t="s">
        <v>15</v>
      </c>
    </row>
    <row r="44" spans="1:3">
      <c r="A44">
        <v>13</v>
      </c>
      <c r="B44" t="s">
        <v>13</v>
      </c>
      <c r="C44" t="s">
        <v>15</v>
      </c>
    </row>
    <row r="45" spans="1:3">
      <c r="A45">
        <v>14</v>
      </c>
      <c r="B45" t="s">
        <v>13</v>
      </c>
      <c r="C45" t="s">
        <v>15</v>
      </c>
    </row>
    <row r="46" spans="1:3">
      <c r="A46">
        <v>15</v>
      </c>
      <c r="B46" t="s">
        <v>13</v>
      </c>
      <c r="C46" t="s">
        <v>15</v>
      </c>
    </row>
    <row r="47" spans="1:3">
      <c r="A47">
        <v>16</v>
      </c>
      <c r="B47" t="s">
        <v>13</v>
      </c>
      <c r="C47" t="s">
        <v>15</v>
      </c>
    </row>
    <row r="48" spans="1:3">
      <c r="A48">
        <v>17</v>
      </c>
      <c r="B48" t="s">
        <v>13</v>
      </c>
      <c r="C48" t="s">
        <v>15</v>
      </c>
    </row>
    <row r="49" spans="1:3">
      <c r="A49">
        <v>18</v>
      </c>
      <c r="B49" t="s">
        <v>13</v>
      </c>
      <c r="C49" t="s">
        <v>15</v>
      </c>
    </row>
    <row r="50" spans="1:3">
      <c r="A50">
        <v>19</v>
      </c>
      <c r="B50" t="s">
        <v>13</v>
      </c>
      <c r="C50" t="s">
        <v>15</v>
      </c>
    </row>
    <row r="51" spans="1:3">
      <c r="A51">
        <v>20</v>
      </c>
      <c r="B51" t="s">
        <v>13</v>
      </c>
      <c r="C51" t="s">
        <v>15</v>
      </c>
    </row>
    <row r="52" spans="1:3">
      <c r="A52">
        <v>21</v>
      </c>
      <c r="B52" t="s">
        <v>13</v>
      </c>
      <c r="C52" t="s">
        <v>15</v>
      </c>
    </row>
    <row r="53" spans="1:3">
      <c r="A53">
        <v>22</v>
      </c>
      <c r="B53" t="s">
        <v>13</v>
      </c>
      <c r="C53" t="s">
        <v>15</v>
      </c>
    </row>
    <row r="54" spans="1:3">
      <c r="A54">
        <v>23</v>
      </c>
      <c r="B54" t="s">
        <v>13</v>
      </c>
      <c r="C54" t="s">
        <v>15</v>
      </c>
    </row>
    <row r="55" spans="1:3">
      <c r="A55">
        <v>24</v>
      </c>
      <c r="B55" t="s">
        <v>13</v>
      </c>
      <c r="C55" t="s">
        <v>15</v>
      </c>
    </row>
    <row r="56" spans="1:3">
      <c r="A56">
        <v>25</v>
      </c>
      <c r="B56" t="s">
        <v>10</v>
      </c>
      <c r="C56" t="s">
        <v>12</v>
      </c>
    </row>
    <row r="57" spans="1:3">
      <c r="A57">
        <v>26</v>
      </c>
      <c r="B57" t="s">
        <v>10</v>
      </c>
      <c r="C57" t="s">
        <v>12</v>
      </c>
    </row>
    <row r="58" spans="1:3">
      <c r="A58">
        <v>27</v>
      </c>
      <c r="B58" t="s">
        <v>10</v>
      </c>
      <c r="C58" t="s">
        <v>12</v>
      </c>
    </row>
    <row r="59" spans="1:3">
      <c r="A59">
        <v>28</v>
      </c>
      <c r="B59" t="s">
        <v>10</v>
      </c>
      <c r="C59" t="s">
        <v>12</v>
      </c>
    </row>
    <row r="60" spans="1:3">
      <c r="A60">
        <v>29</v>
      </c>
      <c r="B60" t="s">
        <v>10</v>
      </c>
      <c r="C60" t="s">
        <v>12</v>
      </c>
    </row>
    <row r="61" spans="1:3">
      <c r="A61">
        <v>30</v>
      </c>
      <c r="B61" t="s">
        <v>10</v>
      </c>
      <c r="C61" t="s">
        <v>12</v>
      </c>
    </row>
    <row r="62" spans="1:3">
      <c r="A62">
        <v>31</v>
      </c>
      <c r="B62" t="s">
        <v>10</v>
      </c>
      <c r="C62" t="s">
        <v>12</v>
      </c>
    </row>
    <row r="63" spans="1:3">
      <c r="A63">
        <v>32</v>
      </c>
      <c r="B63" t="s">
        <v>10</v>
      </c>
      <c r="C63" t="s">
        <v>12</v>
      </c>
    </row>
    <row r="64" spans="1:3">
      <c r="A64">
        <v>33</v>
      </c>
      <c r="B64" t="s">
        <v>10</v>
      </c>
      <c r="C64" t="s">
        <v>12</v>
      </c>
    </row>
    <row r="65" spans="1:3">
      <c r="A65">
        <v>34</v>
      </c>
      <c r="B65" t="s">
        <v>10</v>
      </c>
      <c r="C65" t="s">
        <v>12</v>
      </c>
    </row>
    <row r="66" spans="1:3">
      <c r="A66">
        <v>35</v>
      </c>
      <c r="B66" t="s">
        <v>10</v>
      </c>
      <c r="C66" t="s">
        <v>12</v>
      </c>
    </row>
    <row r="67" spans="1:3">
      <c r="A67">
        <v>36</v>
      </c>
      <c r="B67" t="s">
        <v>10</v>
      </c>
      <c r="C67" t="s">
        <v>12</v>
      </c>
    </row>
    <row r="68" spans="1:3">
      <c r="A68">
        <v>37</v>
      </c>
      <c r="B68" t="s">
        <v>10</v>
      </c>
      <c r="C68" t="s">
        <v>12</v>
      </c>
    </row>
    <row r="69" spans="1:3">
      <c r="A69">
        <v>38</v>
      </c>
      <c r="B69" t="s">
        <v>10</v>
      </c>
      <c r="C69" t="s">
        <v>12</v>
      </c>
    </row>
    <row r="70" spans="1:3">
      <c r="A70">
        <v>39</v>
      </c>
      <c r="B70" t="s">
        <v>10</v>
      </c>
      <c r="C70" t="s">
        <v>12</v>
      </c>
    </row>
    <row r="71" spans="1:3">
      <c r="A71">
        <v>40</v>
      </c>
      <c r="B71" t="s">
        <v>10</v>
      </c>
      <c r="C71" t="s">
        <v>12</v>
      </c>
    </row>
    <row r="72" spans="1:3">
      <c r="A72">
        <v>41</v>
      </c>
      <c r="B72" t="s">
        <v>10</v>
      </c>
      <c r="C72" t="s">
        <v>12</v>
      </c>
    </row>
    <row r="73" spans="1:3">
      <c r="A73">
        <v>42</v>
      </c>
      <c r="B73" t="s">
        <v>10</v>
      </c>
      <c r="C73" t="s">
        <v>12</v>
      </c>
    </row>
    <row r="74" spans="1:3">
      <c r="A74">
        <v>43</v>
      </c>
      <c r="B74" t="s">
        <v>10</v>
      </c>
      <c r="C74" t="s">
        <v>12</v>
      </c>
    </row>
    <row r="75" spans="1:3">
      <c r="A75">
        <v>44</v>
      </c>
      <c r="B75" t="s">
        <v>10</v>
      </c>
      <c r="C75" t="s">
        <v>12</v>
      </c>
    </row>
    <row r="76" spans="1:3">
      <c r="A76">
        <v>45</v>
      </c>
      <c r="B76" t="s">
        <v>10</v>
      </c>
      <c r="C76" t="s">
        <v>12</v>
      </c>
    </row>
    <row r="77" spans="1:3">
      <c r="A77">
        <v>46</v>
      </c>
      <c r="B77" t="s">
        <v>10</v>
      </c>
      <c r="C77" t="s">
        <v>12</v>
      </c>
    </row>
    <row r="78" spans="1:3">
      <c r="A78">
        <v>47</v>
      </c>
      <c r="B78" t="s">
        <v>10</v>
      </c>
      <c r="C78" t="s">
        <v>12</v>
      </c>
    </row>
    <row r="79" spans="1:3">
      <c r="A79">
        <v>48</v>
      </c>
      <c r="B79" t="s">
        <v>10</v>
      </c>
      <c r="C79" t="s">
        <v>12</v>
      </c>
    </row>
    <row r="80" spans="1:3">
      <c r="A80">
        <v>49</v>
      </c>
      <c r="B80" t="s">
        <v>10</v>
      </c>
      <c r="C80" t="s">
        <v>12</v>
      </c>
    </row>
    <row r="81" spans="1:3">
      <c r="A81">
        <v>50</v>
      </c>
      <c r="B81" t="s">
        <v>7</v>
      </c>
      <c r="C81" t="s">
        <v>9</v>
      </c>
    </row>
    <row r="82" spans="1:3">
      <c r="A82">
        <v>51</v>
      </c>
      <c r="B82" t="s">
        <v>7</v>
      </c>
      <c r="C82" t="s">
        <v>9</v>
      </c>
    </row>
    <row r="83" spans="1:3">
      <c r="A83">
        <v>52</v>
      </c>
      <c r="B83" t="s">
        <v>7</v>
      </c>
      <c r="C83" t="s">
        <v>9</v>
      </c>
    </row>
    <row r="84" spans="1:3">
      <c r="A84">
        <v>53</v>
      </c>
      <c r="B84" t="s">
        <v>7</v>
      </c>
      <c r="C84" t="s">
        <v>9</v>
      </c>
    </row>
    <row r="85" spans="1:3">
      <c r="A85">
        <v>54</v>
      </c>
      <c r="B85" t="s">
        <v>7</v>
      </c>
      <c r="C85" t="s">
        <v>9</v>
      </c>
    </row>
    <row r="86" spans="1:3">
      <c r="A86">
        <v>55</v>
      </c>
      <c r="B86" t="s">
        <v>7</v>
      </c>
      <c r="C86" t="s">
        <v>9</v>
      </c>
    </row>
    <row r="87" spans="1:3">
      <c r="A87">
        <v>56</v>
      </c>
      <c r="B87" t="s">
        <v>7</v>
      </c>
      <c r="C87" t="s">
        <v>9</v>
      </c>
    </row>
    <row r="88" spans="1:3">
      <c r="A88">
        <v>57</v>
      </c>
      <c r="B88" t="s">
        <v>7</v>
      </c>
      <c r="C88" t="s">
        <v>9</v>
      </c>
    </row>
    <row r="89" spans="1:3">
      <c r="A89">
        <v>58</v>
      </c>
      <c r="B89" t="s">
        <v>7</v>
      </c>
      <c r="C89" t="s">
        <v>9</v>
      </c>
    </row>
    <row r="90" spans="1:3">
      <c r="A90">
        <v>59</v>
      </c>
      <c r="B90" t="s">
        <v>7</v>
      </c>
      <c r="C90" t="s">
        <v>9</v>
      </c>
    </row>
    <row r="91" spans="1:3">
      <c r="A91">
        <v>60</v>
      </c>
      <c r="B91" t="s">
        <v>7</v>
      </c>
      <c r="C91" t="s">
        <v>9</v>
      </c>
    </row>
    <row r="92" spans="1:3">
      <c r="A92">
        <v>61</v>
      </c>
      <c r="B92" t="s">
        <v>7</v>
      </c>
      <c r="C92" t="s">
        <v>9</v>
      </c>
    </row>
    <row r="93" spans="1:3">
      <c r="A93">
        <v>62</v>
      </c>
      <c r="B93" t="s">
        <v>7</v>
      </c>
      <c r="C93" t="s">
        <v>9</v>
      </c>
    </row>
    <row r="94" spans="1:3">
      <c r="A94">
        <v>63</v>
      </c>
      <c r="B94" t="s">
        <v>7</v>
      </c>
      <c r="C94" t="s">
        <v>9</v>
      </c>
    </row>
    <row r="95" spans="1:3">
      <c r="A95">
        <v>64</v>
      </c>
      <c r="B95" t="s">
        <v>7</v>
      </c>
      <c r="C95" t="s">
        <v>9</v>
      </c>
    </row>
    <row r="96" spans="1:3">
      <c r="A96">
        <v>65</v>
      </c>
      <c r="B96" t="s">
        <v>7</v>
      </c>
      <c r="C96" t="s">
        <v>9</v>
      </c>
    </row>
    <row r="97" spans="1:3">
      <c r="A97">
        <v>66</v>
      </c>
      <c r="B97" t="s">
        <v>7</v>
      </c>
      <c r="C97" t="s">
        <v>9</v>
      </c>
    </row>
    <row r="98" spans="1:3">
      <c r="A98">
        <v>67</v>
      </c>
      <c r="B98" t="s">
        <v>7</v>
      </c>
      <c r="C98" t="s">
        <v>9</v>
      </c>
    </row>
    <row r="99" spans="1:3">
      <c r="A99">
        <v>68</v>
      </c>
      <c r="B99" t="s">
        <v>7</v>
      </c>
      <c r="C99" t="s">
        <v>9</v>
      </c>
    </row>
    <row r="100" spans="1:3">
      <c r="A100">
        <v>69</v>
      </c>
      <c r="B100" t="s">
        <v>7</v>
      </c>
      <c r="C100" t="s">
        <v>9</v>
      </c>
    </row>
    <row r="101" spans="1:3">
      <c r="A101">
        <v>70</v>
      </c>
      <c r="B101" t="s">
        <v>7</v>
      </c>
      <c r="C101" t="s">
        <v>9</v>
      </c>
    </row>
    <row r="102" spans="1:3">
      <c r="A102">
        <v>71</v>
      </c>
      <c r="B102" t="s">
        <v>7</v>
      </c>
      <c r="C102" t="s">
        <v>9</v>
      </c>
    </row>
    <row r="103" spans="1:3">
      <c r="A103">
        <v>72</v>
      </c>
      <c r="B103" t="s">
        <v>7</v>
      </c>
      <c r="C103" t="s">
        <v>9</v>
      </c>
    </row>
    <row r="104" spans="1:3">
      <c r="A104">
        <v>73</v>
      </c>
      <c r="B104" t="s">
        <v>7</v>
      </c>
      <c r="C104" t="s">
        <v>9</v>
      </c>
    </row>
    <row r="105" spans="1:3">
      <c r="A105">
        <v>74</v>
      </c>
      <c r="B105" t="s">
        <v>7</v>
      </c>
      <c r="C105" t="s">
        <v>9</v>
      </c>
    </row>
    <row r="106" spans="1:3">
      <c r="A106">
        <v>75</v>
      </c>
      <c r="B106" t="s">
        <v>4</v>
      </c>
      <c r="C106" t="s">
        <v>6</v>
      </c>
    </row>
    <row r="107" spans="1:3">
      <c r="A107">
        <v>76</v>
      </c>
      <c r="B107" t="s">
        <v>4</v>
      </c>
      <c r="C107" t="s">
        <v>6</v>
      </c>
    </row>
    <row r="108" spans="1:3">
      <c r="A108">
        <v>77</v>
      </c>
      <c r="B108" t="s">
        <v>4</v>
      </c>
      <c r="C108" t="s">
        <v>6</v>
      </c>
    </row>
    <row r="109" spans="1:3">
      <c r="A109">
        <v>78</v>
      </c>
      <c r="B109" t="s">
        <v>4</v>
      </c>
      <c r="C109" t="s">
        <v>6</v>
      </c>
    </row>
    <row r="110" spans="1:3">
      <c r="A110">
        <v>79</v>
      </c>
      <c r="B110" t="s">
        <v>4</v>
      </c>
      <c r="C110" t="s">
        <v>6</v>
      </c>
    </row>
    <row r="111" spans="1:3">
      <c r="A111">
        <v>80</v>
      </c>
      <c r="B111" t="s">
        <v>4</v>
      </c>
      <c r="C111" t="s">
        <v>6</v>
      </c>
    </row>
    <row r="112" spans="1:3">
      <c r="A112">
        <v>81</v>
      </c>
      <c r="B112" t="s">
        <v>4</v>
      </c>
      <c r="C112" t="s">
        <v>6</v>
      </c>
    </row>
    <row r="113" spans="1:3">
      <c r="A113">
        <v>82</v>
      </c>
      <c r="B113" t="s">
        <v>4</v>
      </c>
      <c r="C113" t="s">
        <v>6</v>
      </c>
    </row>
    <row r="114" spans="1:3">
      <c r="A114">
        <v>83</v>
      </c>
      <c r="B114" t="s">
        <v>4</v>
      </c>
      <c r="C114" t="s">
        <v>6</v>
      </c>
    </row>
    <row r="115" spans="1:3">
      <c r="A115">
        <v>84</v>
      </c>
      <c r="B115" t="s">
        <v>4</v>
      </c>
      <c r="C115" t="s">
        <v>6</v>
      </c>
    </row>
    <row r="116" spans="1:3">
      <c r="A116">
        <v>85</v>
      </c>
      <c r="B116" t="s">
        <v>4</v>
      </c>
      <c r="C116" t="s">
        <v>6</v>
      </c>
    </row>
    <row r="117" spans="1:3">
      <c r="A117">
        <v>86</v>
      </c>
      <c r="B117" t="s">
        <v>4</v>
      </c>
      <c r="C117" t="s">
        <v>6</v>
      </c>
    </row>
    <row r="118" spans="1:3">
      <c r="A118">
        <v>87</v>
      </c>
      <c r="B118" t="s">
        <v>4</v>
      </c>
      <c r="C118" t="s">
        <v>6</v>
      </c>
    </row>
    <row r="119" spans="1:3">
      <c r="A119">
        <v>88</v>
      </c>
      <c r="B119" t="s">
        <v>4</v>
      </c>
      <c r="C119" t="s">
        <v>6</v>
      </c>
    </row>
    <row r="120" spans="1:3">
      <c r="A120">
        <v>89</v>
      </c>
      <c r="B120" t="s">
        <v>4</v>
      </c>
      <c r="C120" t="s">
        <v>6</v>
      </c>
    </row>
    <row r="121" spans="1:3">
      <c r="A121">
        <v>90</v>
      </c>
      <c r="B121" t="s">
        <v>1</v>
      </c>
      <c r="C121" t="s">
        <v>3</v>
      </c>
    </row>
    <row r="122" spans="1:3">
      <c r="A122">
        <v>91</v>
      </c>
      <c r="B122" t="s">
        <v>1</v>
      </c>
      <c r="C122" t="s">
        <v>3</v>
      </c>
    </row>
    <row r="123" spans="1:3">
      <c r="A123">
        <v>92</v>
      </c>
      <c r="B123" t="s">
        <v>1</v>
      </c>
      <c r="C123" t="s">
        <v>3</v>
      </c>
    </row>
    <row r="124" spans="1:3">
      <c r="A124">
        <v>93</v>
      </c>
      <c r="B124" t="s">
        <v>1</v>
      </c>
      <c r="C124" t="s">
        <v>3</v>
      </c>
    </row>
    <row r="125" spans="1:3">
      <c r="A125">
        <v>94</v>
      </c>
      <c r="B125" t="s">
        <v>1</v>
      </c>
      <c r="C125" t="s">
        <v>3</v>
      </c>
    </row>
    <row r="126" spans="1:3">
      <c r="A126">
        <v>95</v>
      </c>
      <c r="B126" t="s">
        <v>1</v>
      </c>
      <c r="C126" t="s">
        <v>3</v>
      </c>
    </row>
    <row r="127" spans="1:3">
      <c r="A127">
        <v>96</v>
      </c>
      <c r="B127" t="s">
        <v>1</v>
      </c>
      <c r="C127" t="s">
        <v>3</v>
      </c>
    </row>
    <row r="128" spans="1:3">
      <c r="A128">
        <v>97</v>
      </c>
      <c r="B128" t="s">
        <v>1</v>
      </c>
      <c r="C128" t="s">
        <v>3</v>
      </c>
    </row>
    <row r="129" spans="1:3">
      <c r="A129">
        <v>98</v>
      </c>
      <c r="B129" t="s">
        <v>1</v>
      </c>
      <c r="C129" t="s">
        <v>3</v>
      </c>
    </row>
    <row r="130" spans="1:3">
      <c r="A130">
        <v>99</v>
      </c>
      <c r="B130" t="s">
        <v>1</v>
      </c>
      <c r="C130" t="s">
        <v>3</v>
      </c>
    </row>
    <row r="131" spans="1:3">
      <c r="A131">
        <v>100</v>
      </c>
      <c r="B131" t="s">
        <v>1</v>
      </c>
      <c r="C131" t="s">
        <v>3</v>
      </c>
    </row>
  </sheetData>
  <sortState xmlns:xlrd2="http://schemas.microsoft.com/office/spreadsheetml/2017/richdata2" ref="A31:C131">
    <sortCondition ref="A31:A1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FDE1-4EB7-49C3-AA73-B0D5FF93EF59}">
  <dimension ref="A1:H501"/>
  <sheetViews>
    <sheetView tabSelected="1" topLeftCell="B1" workbookViewId="0">
      <selection activeCell="D3" sqref="D3"/>
    </sheetView>
  </sheetViews>
  <sheetFormatPr defaultRowHeight="14"/>
  <cols>
    <col min="1" max="4" width="13" customWidth="1"/>
    <col min="5" max="5" width="13" style="1" customWidth="1"/>
    <col min="6" max="6" width="22.83203125" bestFit="1" customWidth="1"/>
    <col min="7" max="7" width="13" customWidth="1"/>
    <col min="8" max="8" width="19" bestFit="1" customWidth="1"/>
  </cols>
  <sheetData>
    <row r="1" spans="1:8">
      <c r="A1" t="s">
        <v>22</v>
      </c>
      <c r="B1" t="s">
        <v>23</v>
      </c>
      <c r="C1" t="s">
        <v>24</v>
      </c>
      <c r="D1" t="s">
        <v>29</v>
      </c>
      <c r="E1" s="1" t="s">
        <v>25</v>
      </c>
      <c r="F1" t="s">
        <v>26</v>
      </c>
      <c r="G1" t="s">
        <v>27</v>
      </c>
      <c r="H1" t="s">
        <v>28</v>
      </c>
    </row>
    <row r="2" spans="1:8">
      <c r="B2">
        <v>120</v>
      </c>
      <c r="C2">
        <f>B2-G2</f>
        <v>120</v>
      </c>
      <c r="D2">
        <f>B2-C2</f>
        <v>0</v>
      </c>
      <c r="E2" s="2">
        <f>(C2/B2)*100</f>
        <v>100</v>
      </c>
      <c r="F2" t="str">
        <f>VLOOKUP(E2,Readme!$A$31:$C$131,2)</f>
        <v>Unharmed / Fresh</v>
      </c>
      <c r="G2">
        <f>SUM(H2:FY2)</f>
        <v>0</v>
      </c>
    </row>
    <row r="3" spans="1:8">
      <c r="B3">
        <v>120</v>
      </c>
      <c r="C3">
        <f t="shared" ref="C3:C66" si="0">B3-G3</f>
        <v>120</v>
      </c>
      <c r="D3">
        <f t="shared" ref="D3:D66" si="1">B3-C3</f>
        <v>0</v>
      </c>
      <c r="E3" s="2">
        <f t="shared" ref="E3:E66" si="2">(C3/B3)*100</f>
        <v>100</v>
      </c>
      <c r="F3" t="str">
        <f>VLOOKUP(E3,Readme!$A$31:$C$131,2)</f>
        <v>Unharmed / Fresh</v>
      </c>
      <c r="G3">
        <f t="shared" ref="G3:G66" si="3">SUM(H3:FY3)</f>
        <v>0</v>
      </c>
    </row>
    <row r="4" spans="1:8">
      <c r="B4">
        <v>120</v>
      </c>
      <c r="C4">
        <f t="shared" si="0"/>
        <v>120</v>
      </c>
      <c r="D4">
        <f t="shared" si="1"/>
        <v>0</v>
      </c>
      <c r="E4" s="2">
        <f t="shared" si="2"/>
        <v>100</v>
      </c>
      <c r="F4" t="str">
        <f>VLOOKUP(E4,Readme!$A$31:$C$131,2)</f>
        <v>Unharmed / Fresh</v>
      </c>
      <c r="G4">
        <f t="shared" si="3"/>
        <v>0</v>
      </c>
    </row>
    <row r="5" spans="1:8">
      <c r="B5">
        <v>120</v>
      </c>
      <c r="C5">
        <f t="shared" si="0"/>
        <v>120</v>
      </c>
      <c r="D5">
        <f t="shared" si="1"/>
        <v>0</v>
      </c>
      <c r="E5" s="2">
        <f t="shared" si="2"/>
        <v>100</v>
      </c>
      <c r="F5" t="str">
        <f>VLOOKUP(E5,Readme!$A$31:$C$131,2)</f>
        <v>Unharmed / Fresh</v>
      </c>
      <c r="G5">
        <f t="shared" si="3"/>
        <v>0</v>
      </c>
    </row>
    <row r="6" spans="1:8">
      <c r="B6">
        <v>120</v>
      </c>
      <c r="C6">
        <f t="shared" si="0"/>
        <v>120</v>
      </c>
      <c r="D6">
        <f t="shared" si="1"/>
        <v>0</v>
      </c>
      <c r="E6" s="2">
        <f t="shared" si="2"/>
        <v>100</v>
      </c>
      <c r="F6" t="str">
        <f>VLOOKUP(E6,Readme!$A$31:$C$131,2)</f>
        <v>Unharmed / Fresh</v>
      </c>
      <c r="G6">
        <f t="shared" si="3"/>
        <v>0</v>
      </c>
    </row>
    <row r="7" spans="1:8">
      <c r="B7">
        <v>120</v>
      </c>
      <c r="C7">
        <f t="shared" si="0"/>
        <v>120</v>
      </c>
      <c r="D7">
        <f t="shared" si="1"/>
        <v>0</v>
      </c>
      <c r="E7" s="2">
        <f t="shared" si="2"/>
        <v>100</v>
      </c>
      <c r="F7" t="str">
        <f>VLOOKUP(E7,Readme!$A$31:$C$131,2)</f>
        <v>Unharmed / Fresh</v>
      </c>
      <c r="G7">
        <f t="shared" si="3"/>
        <v>0</v>
      </c>
    </row>
    <row r="8" spans="1:8">
      <c r="B8">
        <v>120</v>
      </c>
      <c r="C8">
        <f t="shared" si="0"/>
        <v>120</v>
      </c>
      <c r="D8">
        <f t="shared" si="1"/>
        <v>0</v>
      </c>
      <c r="E8" s="2">
        <f t="shared" si="2"/>
        <v>100</v>
      </c>
      <c r="F8" t="str">
        <f>VLOOKUP(E8,Readme!$A$31:$C$131,2)</f>
        <v>Unharmed / Fresh</v>
      </c>
      <c r="G8">
        <f t="shared" si="3"/>
        <v>0</v>
      </c>
    </row>
    <row r="9" spans="1:8">
      <c r="B9">
        <v>120</v>
      </c>
      <c r="C9">
        <f t="shared" si="0"/>
        <v>120</v>
      </c>
      <c r="D9">
        <f t="shared" si="1"/>
        <v>0</v>
      </c>
      <c r="E9" s="2">
        <f t="shared" si="2"/>
        <v>100</v>
      </c>
      <c r="F9" t="str">
        <f>VLOOKUP(E9,Readme!$A$31:$C$131,2)</f>
        <v>Unharmed / Fresh</v>
      </c>
      <c r="G9">
        <f t="shared" si="3"/>
        <v>0</v>
      </c>
    </row>
    <row r="10" spans="1:8">
      <c r="B10">
        <v>120</v>
      </c>
      <c r="C10">
        <f t="shared" si="0"/>
        <v>120</v>
      </c>
      <c r="D10">
        <f t="shared" si="1"/>
        <v>0</v>
      </c>
      <c r="E10" s="2">
        <f t="shared" si="2"/>
        <v>100</v>
      </c>
      <c r="F10" t="str">
        <f>VLOOKUP(E10,Readme!$A$31:$C$131,2)</f>
        <v>Unharmed / Fresh</v>
      </c>
      <c r="G10">
        <f t="shared" si="3"/>
        <v>0</v>
      </c>
    </row>
    <row r="11" spans="1:8">
      <c r="B11">
        <v>120</v>
      </c>
      <c r="C11">
        <f t="shared" si="0"/>
        <v>120</v>
      </c>
      <c r="D11">
        <f t="shared" si="1"/>
        <v>0</v>
      </c>
      <c r="E11" s="2">
        <f t="shared" si="2"/>
        <v>100</v>
      </c>
      <c r="F11" t="str">
        <f>VLOOKUP(E11,Readme!$A$31:$C$131,2)</f>
        <v>Unharmed / Fresh</v>
      </c>
      <c r="G11">
        <f t="shared" si="3"/>
        <v>0</v>
      </c>
    </row>
    <row r="12" spans="1:8">
      <c r="B12">
        <v>120</v>
      </c>
      <c r="C12">
        <f t="shared" si="0"/>
        <v>120</v>
      </c>
      <c r="D12">
        <f t="shared" si="1"/>
        <v>0</v>
      </c>
      <c r="E12" s="2">
        <f t="shared" si="2"/>
        <v>100</v>
      </c>
      <c r="F12" t="str">
        <f>VLOOKUP(E12,Readme!$A$31:$C$131,2)</f>
        <v>Unharmed / Fresh</v>
      </c>
      <c r="G12">
        <f t="shared" si="3"/>
        <v>0</v>
      </c>
    </row>
    <row r="13" spans="1:8">
      <c r="B13">
        <v>120</v>
      </c>
      <c r="C13">
        <f t="shared" si="0"/>
        <v>120</v>
      </c>
      <c r="D13">
        <f t="shared" si="1"/>
        <v>0</v>
      </c>
      <c r="E13" s="2">
        <f t="shared" si="2"/>
        <v>100</v>
      </c>
      <c r="F13" t="str">
        <f>VLOOKUP(E13,Readme!$A$31:$C$131,2)</f>
        <v>Unharmed / Fresh</v>
      </c>
      <c r="G13">
        <f t="shared" si="3"/>
        <v>0</v>
      </c>
    </row>
    <row r="14" spans="1:8">
      <c r="B14">
        <v>120</v>
      </c>
      <c r="C14">
        <f t="shared" si="0"/>
        <v>120</v>
      </c>
      <c r="D14">
        <f t="shared" si="1"/>
        <v>0</v>
      </c>
      <c r="E14" s="2">
        <f t="shared" si="2"/>
        <v>100</v>
      </c>
      <c r="F14" t="str">
        <f>VLOOKUP(E14,Readme!$A$31:$C$131,2)</f>
        <v>Unharmed / Fresh</v>
      </c>
      <c r="G14">
        <f t="shared" si="3"/>
        <v>0</v>
      </c>
    </row>
    <row r="15" spans="1:8">
      <c r="B15">
        <v>120</v>
      </c>
      <c r="C15">
        <f t="shared" si="0"/>
        <v>120</v>
      </c>
      <c r="D15">
        <f t="shared" si="1"/>
        <v>0</v>
      </c>
      <c r="E15" s="2">
        <f t="shared" si="2"/>
        <v>100</v>
      </c>
      <c r="F15" t="str">
        <f>VLOOKUP(E15,Readme!$A$31:$C$131,2)</f>
        <v>Unharmed / Fresh</v>
      </c>
      <c r="G15">
        <f t="shared" si="3"/>
        <v>0</v>
      </c>
    </row>
    <row r="16" spans="1:8">
      <c r="B16">
        <v>120</v>
      </c>
      <c r="C16">
        <f t="shared" si="0"/>
        <v>120</v>
      </c>
      <c r="D16">
        <f t="shared" si="1"/>
        <v>0</v>
      </c>
      <c r="E16" s="2">
        <f t="shared" si="2"/>
        <v>100</v>
      </c>
      <c r="F16" t="str">
        <f>VLOOKUP(E16,Readme!$A$31:$C$131,2)</f>
        <v>Unharmed / Fresh</v>
      </c>
      <c r="G16">
        <f t="shared" si="3"/>
        <v>0</v>
      </c>
    </row>
    <row r="17" spans="2:7">
      <c r="B17">
        <v>120</v>
      </c>
      <c r="C17">
        <f t="shared" si="0"/>
        <v>120</v>
      </c>
      <c r="D17">
        <f t="shared" si="1"/>
        <v>0</v>
      </c>
      <c r="E17" s="2">
        <f t="shared" si="2"/>
        <v>100</v>
      </c>
      <c r="F17" t="str">
        <f>VLOOKUP(E17,Readme!$A$31:$C$131,2)</f>
        <v>Unharmed / Fresh</v>
      </c>
      <c r="G17">
        <f t="shared" si="3"/>
        <v>0</v>
      </c>
    </row>
    <row r="18" spans="2:7">
      <c r="B18">
        <v>120</v>
      </c>
      <c r="C18">
        <f t="shared" si="0"/>
        <v>120</v>
      </c>
      <c r="D18">
        <f t="shared" si="1"/>
        <v>0</v>
      </c>
      <c r="E18" s="2">
        <f t="shared" si="2"/>
        <v>100</v>
      </c>
      <c r="F18" t="str">
        <f>VLOOKUP(E18,Readme!$A$31:$C$131,2)</f>
        <v>Unharmed / Fresh</v>
      </c>
      <c r="G18">
        <f t="shared" si="3"/>
        <v>0</v>
      </c>
    </row>
    <row r="19" spans="2:7">
      <c r="B19">
        <v>120</v>
      </c>
      <c r="C19">
        <f t="shared" si="0"/>
        <v>120</v>
      </c>
      <c r="D19">
        <f t="shared" si="1"/>
        <v>0</v>
      </c>
      <c r="E19" s="2">
        <f t="shared" si="2"/>
        <v>100</v>
      </c>
      <c r="F19" t="str">
        <f>VLOOKUP(E19,Readme!$A$31:$C$131,2)</f>
        <v>Unharmed / Fresh</v>
      </c>
      <c r="G19">
        <f t="shared" si="3"/>
        <v>0</v>
      </c>
    </row>
    <row r="20" spans="2:7">
      <c r="B20">
        <v>120</v>
      </c>
      <c r="C20">
        <f t="shared" si="0"/>
        <v>120</v>
      </c>
      <c r="D20">
        <f t="shared" si="1"/>
        <v>0</v>
      </c>
      <c r="E20" s="2">
        <f t="shared" si="2"/>
        <v>100</v>
      </c>
      <c r="F20" t="str">
        <f>VLOOKUP(E20,Readme!$A$31:$C$131,2)</f>
        <v>Unharmed / Fresh</v>
      </c>
      <c r="G20">
        <f t="shared" si="3"/>
        <v>0</v>
      </c>
    </row>
    <row r="21" spans="2:7">
      <c r="B21">
        <v>120</v>
      </c>
      <c r="C21">
        <f t="shared" si="0"/>
        <v>120</v>
      </c>
      <c r="D21">
        <f t="shared" si="1"/>
        <v>0</v>
      </c>
      <c r="E21" s="2">
        <f t="shared" si="2"/>
        <v>100</v>
      </c>
      <c r="F21" t="str">
        <f>VLOOKUP(E21,Readme!$A$31:$C$131,2)</f>
        <v>Unharmed / Fresh</v>
      </c>
      <c r="G21">
        <f t="shared" si="3"/>
        <v>0</v>
      </c>
    </row>
    <row r="22" spans="2:7">
      <c r="B22">
        <v>120</v>
      </c>
      <c r="C22">
        <f t="shared" si="0"/>
        <v>120</v>
      </c>
      <c r="D22">
        <f t="shared" si="1"/>
        <v>0</v>
      </c>
      <c r="E22" s="2">
        <f t="shared" si="2"/>
        <v>100</v>
      </c>
      <c r="F22" t="str">
        <f>VLOOKUP(E22,Readme!$A$31:$C$131,2)</f>
        <v>Unharmed / Fresh</v>
      </c>
      <c r="G22">
        <f t="shared" si="3"/>
        <v>0</v>
      </c>
    </row>
    <row r="23" spans="2:7">
      <c r="B23">
        <v>120</v>
      </c>
      <c r="C23">
        <f t="shared" si="0"/>
        <v>120</v>
      </c>
      <c r="D23">
        <f t="shared" si="1"/>
        <v>0</v>
      </c>
      <c r="E23" s="2">
        <f t="shared" si="2"/>
        <v>100</v>
      </c>
      <c r="F23" t="str">
        <f>VLOOKUP(E23,Readme!$A$31:$C$131,2)</f>
        <v>Unharmed / Fresh</v>
      </c>
      <c r="G23">
        <f t="shared" si="3"/>
        <v>0</v>
      </c>
    </row>
    <row r="24" spans="2:7">
      <c r="B24">
        <v>120</v>
      </c>
      <c r="C24">
        <f t="shared" si="0"/>
        <v>120</v>
      </c>
      <c r="D24">
        <f t="shared" si="1"/>
        <v>0</v>
      </c>
      <c r="E24" s="2">
        <f t="shared" si="2"/>
        <v>100</v>
      </c>
      <c r="F24" t="str">
        <f>VLOOKUP(E24,Readme!$A$31:$C$131,2)</f>
        <v>Unharmed / Fresh</v>
      </c>
      <c r="G24">
        <f t="shared" si="3"/>
        <v>0</v>
      </c>
    </row>
    <row r="25" spans="2:7">
      <c r="B25">
        <v>120</v>
      </c>
      <c r="C25">
        <f t="shared" si="0"/>
        <v>120</v>
      </c>
      <c r="D25">
        <f t="shared" si="1"/>
        <v>0</v>
      </c>
      <c r="E25" s="2">
        <f t="shared" si="2"/>
        <v>100</v>
      </c>
      <c r="F25" t="str">
        <f>VLOOKUP(E25,Readme!$A$31:$C$131,2)</f>
        <v>Unharmed / Fresh</v>
      </c>
      <c r="G25">
        <f t="shared" si="3"/>
        <v>0</v>
      </c>
    </row>
    <row r="26" spans="2:7">
      <c r="B26">
        <v>120</v>
      </c>
      <c r="C26">
        <f t="shared" si="0"/>
        <v>120</v>
      </c>
      <c r="D26">
        <f t="shared" si="1"/>
        <v>0</v>
      </c>
      <c r="E26" s="2">
        <f t="shared" si="2"/>
        <v>100</v>
      </c>
      <c r="F26" t="str">
        <f>VLOOKUP(E26,Readme!$A$31:$C$131,2)</f>
        <v>Unharmed / Fresh</v>
      </c>
      <c r="G26">
        <f t="shared" si="3"/>
        <v>0</v>
      </c>
    </row>
    <row r="27" spans="2:7">
      <c r="B27">
        <v>120</v>
      </c>
      <c r="C27">
        <f t="shared" si="0"/>
        <v>120</v>
      </c>
      <c r="D27">
        <f t="shared" si="1"/>
        <v>0</v>
      </c>
      <c r="E27" s="2">
        <f t="shared" si="2"/>
        <v>100</v>
      </c>
      <c r="F27" t="str">
        <f>VLOOKUP(E27,Readme!$A$31:$C$131,2)</f>
        <v>Unharmed / Fresh</v>
      </c>
      <c r="G27">
        <f t="shared" si="3"/>
        <v>0</v>
      </c>
    </row>
    <row r="28" spans="2:7">
      <c r="B28">
        <v>120</v>
      </c>
      <c r="C28">
        <f t="shared" si="0"/>
        <v>120</v>
      </c>
      <c r="D28">
        <f t="shared" si="1"/>
        <v>0</v>
      </c>
      <c r="E28" s="2">
        <f t="shared" si="2"/>
        <v>100</v>
      </c>
      <c r="F28" t="str">
        <f>VLOOKUP(E28,Readme!$A$31:$C$131,2)</f>
        <v>Unharmed / Fresh</v>
      </c>
      <c r="G28">
        <f t="shared" si="3"/>
        <v>0</v>
      </c>
    </row>
    <row r="29" spans="2:7">
      <c r="B29">
        <v>120</v>
      </c>
      <c r="C29">
        <f t="shared" si="0"/>
        <v>120</v>
      </c>
      <c r="D29">
        <f t="shared" si="1"/>
        <v>0</v>
      </c>
      <c r="E29" s="2">
        <f t="shared" si="2"/>
        <v>100</v>
      </c>
      <c r="F29" t="str">
        <f>VLOOKUP(E29,Readme!$A$31:$C$131,2)</f>
        <v>Unharmed / Fresh</v>
      </c>
      <c r="G29">
        <f t="shared" si="3"/>
        <v>0</v>
      </c>
    </row>
    <row r="30" spans="2:7">
      <c r="B30">
        <v>120</v>
      </c>
      <c r="C30">
        <f t="shared" si="0"/>
        <v>120</v>
      </c>
      <c r="D30">
        <f t="shared" si="1"/>
        <v>0</v>
      </c>
      <c r="E30" s="2">
        <f t="shared" si="2"/>
        <v>100</v>
      </c>
      <c r="F30" t="str">
        <f>VLOOKUP(E30,Readme!$A$31:$C$131,2)</f>
        <v>Unharmed / Fresh</v>
      </c>
      <c r="G30">
        <f t="shared" si="3"/>
        <v>0</v>
      </c>
    </row>
    <row r="31" spans="2:7">
      <c r="B31">
        <v>120</v>
      </c>
      <c r="C31">
        <f t="shared" si="0"/>
        <v>120</v>
      </c>
      <c r="D31">
        <f t="shared" si="1"/>
        <v>0</v>
      </c>
      <c r="E31" s="2">
        <f t="shared" si="2"/>
        <v>100</v>
      </c>
      <c r="F31" t="str">
        <f>VLOOKUP(E31,Readme!$A$31:$C$131,2)</f>
        <v>Unharmed / Fresh</v>
      </c>
      <c r="G31">
        <f t="shared" si="3"/>
        <v>0</v>
      </c>
    </row>
    <row r="32" spans="2:7">
      <c r="B32">
        <v>120</v>
      </c>
      <c r="C32">
        <f t="shared" si="0"/>
        <v>120</v>
      </c>
      <c r="D32">
        <f t="shared" si="1"/>
        <v>0</v>
      </c>
      <c r="E32" s="2">
        <f t="shared" si="2"/>
        <v>100</v>
      </c>
      <c r="F32" t="str">
        <f>VLOOKUP(E32,Readme!$A$31:$C$131,2)</f>
        <v>Unharmed / Fresh</v>
      </c>
      <c r="G32">
        <f t="shared" si="3"/>
        <v>0</v>
      </c>
    </row>
    <row r="33" spans="2:7">
      <c r="B33">
        <v>120</v>
      </c>
      <c r="C33">
        <f t="shared" si="0"/>
        <v>120</v>
      </c>
      <c r="D33">
        <f t="shared" si="1"/>
        <v>0</v>
      </c>
      <c r="E33" s="2">
        <f t="shared" si="2"/>
        <v>100</v>
      </c>
      <c r="F33" t="str">
        <f>VLOOKUP(E33,Readme!$A$31:$C$131,2)</f>
        <v>Unharmed / Fresh</v>
      </c>
      <c r="G33">
        <f t="shared" si="3"/>
        <v>0</v>
      </c>
    </row>
    <row r="34" spans="2:7">
      <c r="B34">
        <v>120</v>
      </c>
      <c r="C34">
        <f t="shared" si="0"/>
        <v>120</v>
      </c>
      <c r="D34">
        <f t="shared" si="1"/>
        <v>0</v>
      </c>
      <c r="E34" s="2">
        <f t="shared" si="2"/>
        <v>100</v>
      </c>
      <c r="F34" t="str">
        <f>VLOOKUP(E34,Readme!$A$31:$C$131,2)</f>
        <v>Unharmed / Fresh</v>
      </c>
      <c r="G34">
        <f t="shared" si="3"/>
        <v>0</v>
      </c>
    </row>
    <row r="35" spans="2:7">
      <c r="B35">
        <v>120</v>
      </c>
      <c r="C35">
        <f t="shared" si="0"/>
        <v>120</v>
      </c>
      <c r="D35">
        <f t="shared" si="1"/>
        <v>0</v>
      </c>
      <c r="E35" s="2">
        <f t="shared" si="2"/>
        <v>100</v>
      </c>
      <c r="F35" t="str">
        <f>VLOOKUP(E35,Readme!$A$31:$C$131,2)</f>
        <v>Unharmed / Fresh</v>
      </c>
      <c r="G35">
        <f t="shared" si="3"/>
        <v>0</v>
      </c>
    </row>
    <row r="36" spans="2:7">
      <c r="B36">
        <v>120</v>
      </c>
      <c r="C36">
        <f t="shared" si="0"/>
        <v>120</v>
      </c>
      <c r="D36">
        <f t="shared" si="1"/>
        <v>0</v>
      </c>
      <c r="E36" s="2">
        <f t="shared" si="2"/>
        <v>100</v>
      </c>
      <c r="F36" t="str">
        <f>VLOOKUP(E36,Readme!$A$31:$C$131,2)</f>
        <v>Unharmed / Fresh</v>
      </c>
      <c r="G36">
        <f t="shared" si="3"/>
        <v>0</v>
      </c>
    </row>
    <row r="37" spans="2:7">
      <c r="B37">
        <v>120</v>
      </c>
      <c r="C37">
        <f t="shared" si="0"/>
        <v>120</v>
      </c>
      <c r="D37">
        <f t="shared" si="1"/>
        <v>0</v>
      </c>
      <c r="E37" s="2">
        <f t="shared" si="2"/>
        <v>100</v>
      </c>
      <c r="F37" t="str">
        <f>VLOOKUP(E37,Readme!$A$31:$C$131,2)</f>
        <v>Unharmed / Fresh</v>
      </c>
      <c r="G37">
        <f t="shared" si="3"/>
        <v>0</v>
      </c>
    </row>
    <row r="38" spans="2:7">
      <c r="B38">
        <v>120</v>
      </c>
      <c r="C38">
        <f t="shared" si="0"/>
        <v>120</v>
      </c>
      <c r="D38">
        <f t="shared" si="1"/>
        <v>0</v>
      </c>
      <c r="E38" s="2">
        <f t="shared" si="2"/>
        <v>100</v>
      </c>
      <c r="F38" t="str">
        <f>VLOOKUP(E38,Readme!$A$31:$C$131,2)</f>
        <v>Unharmed / Fresh</v>
      </c>
      <c r="G38">
        <f t="shared" si="3"/>
        <v>0</v>
      </c>
    </row>
    <row r="39" spans="2:7">
      <c r="B39">
        <v>120</v>
      </c>
      <c r="C39">
        <f t="shared" si="0"/>
        <v>120</v>
      </c>
      <c r="D39">
        <f t="shared" si="1"/>
        <v>0</v>
      </c>
      <c r="E39" s="2">
        <f t="shared" si="2"/>
        <v>100</v>
      </c>
      <c r="F39" t="str">
        <f>VLOOKUP(E39,Readme!$A$31:$C$131,2)</f>
        <v>Unharmed / Fresh</v>
      </c>
      <c r="G39">
        <f t="shared" si="3"/>
        <v>0</v>
      </c>
    </row>
    <row r="40" spans="2:7">
      <c r="B40">
        <v>120</v>
      </c>
      <c r="C40">
        <f t="shared" si="0"/>
        <v>120</v>
      </c>
      <c r="D40">
        <f t="shared" si="1"/>
        <v>0</v>
      </c>
      <c r="E40" s="2">
        <f t="shared" si="2"/>
        <v>100</v>
      </c>
      <c r="F40" t="str">
        <f>VLOOKUP(E40,Readme!$A$31:$C$131,2)</f>
        <v>Unharmed / Fresh</v>
      </c>
      <c r="G40">
        <f t="shared" si="3"/>
        <v>0</v>
      </c>
    </row>
    <row r="41" spans="2:7">
      <c r="B41">
        <v>120</v>
      </c>
      <c r="C41">
        <f t="shared" si="0"/>
        <v>120</v>
      </c>
      <c r="D41">
        <f t="shared" si="1"/>
        <v>0</v>
      </c>
      <c r="E41" s="2">
        <f t="shared" si="2"/>
        <v>100</v>
      </c>
      <c r="F41" t="str">
        <f>VLOOKUP(E41,Readme!$A$31:$C$131,2)</f>
        <v>Unharmed / Fresh</v>
      </c>
      <c r="G41">
        <f t="shared" si="3"/>
        <v>0</v>
      </c>
    </row>
    <row r="42" spans="2:7">
      <c r="B42">
        <v>120</v>
      </c>
      <c r="C42">
        <f t="shared" si="0"/>
        <v>120</v>
      </c>
      <c r="D42">
        <f t="shared" si="1"/>
        <v>0</v>
      </c>
      <c r="E42" s="2">
        <f t="shared" si="2"/>
        <v>100</v>
      </c>
      <c r="F42" t="str">
        <f>VLOOKUP(E42,Readme!$A$31:$C$131,2)</f>
        <v>Unharmed / Fresh</v>
      </c>
      <c r="G42">
        <f t="shared" si="3"/>
        <v>0</v>
      </c>
    </row>
    <row r="43" spans="2:7">
      <c r="B43">
        <v>120</v>
      </c>
      <c r="C43">
        <f t="shared" si="0"/>
        <v>120</v>
      </c>
      <c r="D43">
        <f t="shared" si="1"/>
        <v>0</v>
      </c>
      <c r="E43" s="2">
        <f t="shared" si="2"/>
        <v>100</v>
      </c>
      <c r="F43" t="str">
        <f>VLOOKUP(E43,Readme!$A$31:$C$131,2)</f>
        <v>Unharmed / Fresh</v>
      </c>
      <c r="G43">
        <f t="shared" si="3"/>
        <v>0</v>
      </c>
    </row>
    <row r="44" spans="2:7">
      <c r="B44">
        <v>120</v>
      </c>
      <c r="C44">
        <f t="shared" si="0"/>
        <v>120</v>
      </c>
      <c r="D44">
        <f t="shared" si="1"/>
        <v>0</v>
      </c>
      <c r="E44" s="2">
        <f t="shared" si="2"/>
        <v>100</v>
      </c>
      <c r="F44" t="str">
        <f>VLOOKUP(E44,Readme!$A$31:$C$131,2)</f>
        <v>Unharmed / Fresh</v>
      </c>
      <c r="G44">
        <f t="shared" si="3"/>
        <v>0</v>
      </c>
    </row>
    <row r="45" spans="2:7">
      <c r="B45">
        <v>120</v>
      </c>
      <c r="C45">
        <f t="shared" si="0"/>
        <v>120</v>
      </c>
      <c r="D45">
        <f t="shared" si="1"/>
        <v>0</v>
      </c>
      <c r="E45" s="2">
        <f t="shared" si="2"/>
        <v>100</v>
      </c>
      <c r="F45" t="str">
        <f>VLOOKUP(E45,Readme!$A$31:$C$131,2)</f>
        <v>Unharmed / Fresh</v>
      </c>
      <c r="G45">
        <f t="shared" si="3"/>
        <v>0</v>
      </c>
    </row>
    <row r="46" spans="2:7">
      <c r="B46">
        <v>120</v>
      </c>
      <c r="C46">
        <f t="shared" si="0"/>
        <v>120</v>
      </c>
      <c r="D46">
        <f t="shared" si="1"/>
        <v>0</v>
      </c>
      <c r="E46" s="2">
        <f t="shared" si="2"/>
        <v>100</v>
      </c>
      <c r="F46" t="str">
        <f>VLOOKUP(E46,Readme!$A$31:$C$131,2)</f>
        <v>Unharmed / Fresh</v>
      </c>
      <c r="G46">
        <f t="shared" si="3"/>
        <v>0</v>
      </c>
    </row>
    <row r="47" spans="2:7">
      <c r="B47">
        <v>120</v>
      </c>
      <c r="C47">
        <f t="shared" si="0"/>
        <v>120</v>
      </c>
      <c r="D47">
        <f t="shared" si="1"/>
        <v>0</v>
      </c>
      <c r="E47" s="2">
        <f t="shared" si="2"/>
        <v>100</v>
      </c>
      <c r="F47" t="str">
        <f>VLOOKUP(E47,Readme!$A$31:$C$131,2)</f>
        <v>Unharmed / Fresh</v>
      </c>
      <c r="G47">
        <f t="shared" si="3"/>
        <v>0</v>
      </c>
    </row>
    <row r="48" spans="2:7">
      <c r="B48">
        <v>120</v>
      </c>
      <c r="C48">
        <f t="shared" si="0"/>
        <v>120</v>
      </c>
      <c r="D48">
        <f t="shared" si="1"/>
        <v>0</v>
      </c>
      <c r="E48" s="2">
        <f t="shared" si="2"/>
        <v>100</v>
      </c>
      <c r="F48" t="str">
        <f>VLOOKUP(E48,Readme!$A$31:$C$131,2)</f>
        <v>Unharmed / Fresh</v>
      </c>
      <c r="G48">
        <f t="shared" si="3"/>
        <v>0</v>
      </c>
    </row>
    <row r="49" spans="2:7">
      <c r="B49">
        <v>120</v>
      </c>
      <c r="C49">
        <f t="shared" si="0"/>
        <v>120</v>
      </c>
      <c r="D49">
        <f t="shared" si="1"/>
        <v>0</v>
      </c>
      <c r="E49" s="2">
        <f t="shared" si="2"/>
        <v>100</v>
      </c>
      <c r="F49" t="str">
        <f>VLOOKUP(E49,Readme!$A$31:$C$131,2)</f>
        <v>Unharmed / Fresh</v>
      </c>
      <c r="G49">
        <f t="shared" si="3"/>
        <v>0</v>
      </c>
    </row>
    <row r="50" spans="2:7">
      <c r="B50">
        <v>120</v>
      </c>
      <c r="C50">
        <f t="shared" si="0"/>
        <v>120</v>
      </c>
      <c r="D50">
        <f t="shared" si="1"/>
        <v>0</v>
      </c>
      <c r="E50" s="2">
        <f t="shared" si="2"/>
        <v>100</v>
      </c>
      <c r="F50" t="str">
        <f>VLOOKUP(E50,Readme!$A$31:$C$131,2)</f>
        <v>Unharmed / Fresh</v>
      </c>
      <c r="G50">
        <f t="shared" si="3"/>
        <v>0</v>
      </c>
    </row>
    <row r="51" spans="2:7">
      <c r="B51">
        <v>120</v>
      </c>
      <c r="C51">
        <f t="shared" si="0"/>
        <v>120</v>
      </c>
      <c r="D51">
        <f t="shared" si="1"/>
        <v>0</v>
      </c>
      <c r="E51" s="2">
        <f t="shared" si="2"/>
        <v>100</v>
      </c>
      <c r="F51" t="str">
        <f>VLOOKUP(E51,Readme!$A$31:$C$131,2)</f>
        <v>Unharmed / Fresh</v>
      </c>
      <c r="G51">
        <f t="shared" si="3"/>
        <v>0</v>
      </c>
    </row>
    <row r="52" spans="2:7">
      <c r="B52">
        <v>120</v>
      </c>
      <c r="C52">
        <f t="shared" si="0"/>
        <v>120</v>
      </c>
      <c r="D52">
        <f t="shared" si="1"/>
        <v>0</v>
      </c>
      <c r="E52" s="2">
        <f t="shared" si="2"/>
        <v>100</v>
      </c>
      <c r="F52" t="str">
        <f>VLOOKUP(E52,Readme!$A$31:$C$131,2)</f>
        <v>Unharmed / Fresh</v>
      </c>
      <c r="G52">
        <f t="shared" si="3"/>
        <v>0</v>
      </c>
    </row>
    <row r="53" spans="2:7">
      <c r="B53">
        <v>120</v>
      </c>
      <c r="C53">
        <f t="shared" si="0"/>
        <v>120</v>
      </c>
      <c r="D53">
        <f t="shared" si="1"/>
        <v>0</v>
      </c>
      <c r="E53" s="2">
        <f t="shared" si="2"/>
        <v>100</v>
      </c>
      <c r="F53" t="str">
        <f>VLOOKUP(E53,Readme!$A$31:$C$131,2)</f>
        <v>Unharmed / Fresh</v>
      </c>
      <c r="G53">
        <f t="shared" si="3"/>
        <v>0</v>
      </c>
    </row>
    <row r="54" spans="2:7">
      <c r="B54">
        <v>120</v>
      </c>
      <c r="C54">
        <f t="shared" si="0"/>
        <v>120</v>
      </c>
      <c r="D54">
        <f t="shared" si="1"/>
        <v>0</v>
      </c>
      <c r="E54" s="2">
        <f t="shared" si="2"/>
        <v>100</v>
      </c>
      <c r="F54" t="str">
        <f>VLOOKUP(E54,Readme!$A$31:$C$131,2)</f>
        <v>Unharmed / Fresh</v>
      </c>
      <c r="G54">
        <f t="shared" si="3"/>
        <v>0</v>
      </c>
    </row>
    <row r="55" spans="2:7">
      <c r="B55">
        <v>120</v>
      </c>
      <c r="C55">
        <f t="shared" si="0"/>
        <v>120</v>
      </c>
      <c r="D55">
        <f t="shared" si="1"/>
        <v>0</v>
      </c>
      <c r="E55" s="2">
        <f t="shared" si="2"/>
        <v>100</v>
      </c>
      <c r="F55" t="str">
        <f>VLOOKUP(E55,Readme!$A$31:$C$131,2)</f>
        <v>Unharmed / Fresh</v>
      </c>
      <c r="G55">
        <f t="shared" si="3"/>
        <v>0</v>
      </c>
    </row>
    <row r="56" spans="2:7">
      <c r="B56">
        <v>120</v>
      </c>
      <c r="C56">
        <f t="shared" si="0"/>
        <v>120</v>
      </c>
      <c r="D56">
        <f t="shared" si="1"/>
        <v>0</v>
      </c>
      <c r="E56" s="2">
        <f t="shared" si="2"/>
        <v>100</v>
      </c>
      <c r="F56" t="str">
        <f>VLOOKUP(E56,Readme!$A$31:$C$131,2)</f>
        <v>Unharmed / Fresh</v>
      </c>
      <c r="G56">
        <f t="shared" si="3"/>
        <v>0</v>
      </c>
    </row>
    <row r="57" spans="2:7">
      <c r="B57">
        <v>120</v>
      </c>
      <c r="C57">
        <f t="shared" si="0"/>
        <v>120</v>
      </c>
      <c r="D57">
        <f t="shared" si="1"/>
        <v>0</v>
      </c>
      <c r="E57" s="2">
        <f t="shared" si="2"/>
        <v>100</v>
      </c>
      <c r="F57" t="str">
        <f>VLOOKUP(E57,Readme!$A$31:$C$131,2)</f>
        <v>Unharmed / Fresh</v>
      </c>
      <c r="G57">
        <f t="shared" si="3"/>
        <v>0</v>
      </c>
    </row>
    <row r="58" spans="2:7">
      <c r="B58">
        <v>120</v>
      </c>
      <c r="C58">
        <f t="shared" si="0"/>
        <v>120</v>
      </c>
      <c r="D58">
        <f t="shared" si="1"/>
        <v>0</v>
      </c>
      <c r="E58" s="2">
        <f t="shared" si="2"/>
        <v>100</v>
      </c>
      <c r="F58" t="str">
        <f>VLOOKUP(E58,Readme!$A$31:$C$131,2)</f>
        <v>Unharmed / Fresh</v>
      </c>
      <c r="G58">
        <f t="shared" si="3"/>
        <v>0</v>
      </c>
    </row>
    <row r="59" spans="2:7">
      <c r="B59">
        <v>120</v>
      </c>
      <c r="C59">
        <f t="shared" si="0"/>
        <v>120</v>
      </c>
      <c r="D59">
        <f t="shared" si="1"/>
        <v>0</v>
      </c>
      <c r="E59" s="2">
        <f t="shared" si="2"/>
        <v>100</v>
      </c>
      <c r="F59" t="str">
        <f>VLOOKUP(E59,Readme!$A$31:$C$131,2)</f>
        <v>Unharmed / Fresh</v>
      </c>
      <c r="G59">
        <f t="shared" si="3"/>
        <v>0</v>
      </c>
    </row>
    <row r="60" spans="2:7">
      <c r="B60">
        <v>120</v>
      </c>
      <c r="C60">
        <f t="shared" si="0"/>
        <v>120</v>
      </c>
      <c r="D60">
        <f t="shared" si="1"/>
        <v>0</v>
      </c>
      <c r="E60" s="2">
        <f t="shared" si="2"/>
        <v>100</v>
      </c>
      <c r="F60" t="str">
        <f>VLOOKUP(E60,Readme!$A$31:$C$131,2)</f>
        <v>Unharmed / Fresh</v>
      </c>
      <c r="G60">
        <f t="shared" si="3"/>
        <v>0</v>
      </c>
    </row>
    <row r="61" spans="2:7">
      <c r="B61">
        <v>120</v>
      </c>
      <c r="C61">
        <f t="shared" si="0"/>
        <v>120</v>
      </c>
      <c r="D61">
        <f t="shared" si="1"/>
        <v>0</v>
      </c>
      <c r="E61" s="2">
        <f t="shared" si="2"/>
        <v>100</v>
      </c>
      <c r="F61" t="str">
        <f>VLOOKUP(E61,Readme!$A$31:$C$131,2)</f>
        <v>Unharmed / Fresh</v>
      </c>
      <c r="G61">
        <f t="shared" si="3"/>
        <v>0</v>
      </c>
    </row>
    <row r="62" spans="2:7">
      <c r="B62">
        <v>120</v>
      </c>
      <c r="C62">
        <f t="shared" si="0"/>
        <v>120</v>
      </c>
      <c r="D62">
        <f t="shared" si="1"/>
        <v>0</v>
      </c>
      <c r="E62" s="2">
        <f t="shared" si="2"/>
        <v>100</v>
      </c>
      <c r="F62" t="str">
        <f>VLOOKUP(E62,Readme!$A$31:$C$131,2)</f>
        <v>Unharmed / Fresh</v>
      </c>
      <c r="G62">
        <f t="shared" si="3"/>
        <v>0</v>
      </c>
    </row>
    <row r="63" spans="2:7">
      <c r="B63">
        <v>120</v>
      </c>
      <c r="C63">
        <f t="shared" si="0"/>
        <v>120</v>
      </c>
      <c r="D63">
        <f t="shared" si="1"/>
        <v>0</v>
      </c>
      <c r="E63" s="2">
        <f t="shared" si="2"/>
        <v>100</v>
      </c>
      <c r="F63" t="str">
        <f>VLOOKUP(E63,Readme!$A$31:$C$131,2)</f>
        <v>Unharmed / Fresh</v>
      </c>
      <c r="G63">
        <f t="shared" si="3"/>
        <v>0</v>
      </c>
    </row>
    <row r="64" spans="2:7">
      <c r="B64">
        <v>120</v>
      </c>
      <c r="C64">
        <f t="shared" si="0"/>
        <v>120</v>
      </c>
      <c r="D64">
        <f t="shared" si="1"/>
        <v>0</v>
      </c>
      <c r="E64" s="2">
        <f t="shared" si="2"/>
        <v>100</v>
      </c>
      <c r="F64" t="str">
        <f>VLOOKUP(E64,Readme!$A$31:$C$131,2)</f>
        <v>Unharmed / Fresh</v>
      </c>
      <c r="G64">
        <f t="shared" si="3"/>
        <v>0</v>
      </c>
    </row>
    <row r="65" spans="2:7">
      <c r="B65">
        <v>120</v>
      </c>
      <c r="C65">
        <f t="shared" si="0"/>
        <v>120</v>
      </c>
      <c r="D65">
        <f t="shared" si="1"/>
        <v>0</v>
      </c>
      <c r="E65" s="2">
        <f t="shared" si="2"/>
        <v>100</v>
      </c>
      <c r="F65" t="str">
        <f>VLOOKUP(E65,Readme!$A$31:$C$131,2)</f>
        <v>Unharmed / Fresh</v>
      </c>
      <c r="G65">
        <f t="shared" si="3"/>
        <v>0</v>
      </c>
    </row>
    <row r="66" spans="2:7">
      <c r="B66">
        <v>120</v>
      </c>
      <c r="C66">
        <f t="shared" si="0"/>
        <v>120</v>
      </c>
      <c r="D66">
        <f t="shared" si="1"/>
        <v>0</v>
      </c>
      <c r="E66" s="2">
        <f t="shared" si="2"/>
        <v>100</v>
      </c>
      <c r="F66" t="str">
        <f>VLOOKUP(E66,Readme!$A$31:$C$131,2)</f>
        <v>Unharmed / Fresh</v>
      </c>
      <c r="G66">
        <f t="shared" si="3"/>
        <v>0</v>
      </c>
    </row>
    <row r="67" spans="2:7">
      <c r="B67">
        <v>120</v>
      </c>
      <c r="C67">
        <f t="shared" ref="C67:C130" si="4">B67-G67</f>
        <v>120</v>
      </c>
      <c r="D67">
        <f t="shared" ref="D67:D130" si="5">B67-C67</f>
        <v>0</v>
      </c>
      <c r="E67" s="2">
        <f t="shared" ref="E67:E130" si="6">(C67/B67)*100</f>
        <v>100</v>
      </c>
      <c r="F67" t="str">
        <f>VLOOKUP(E67,Readme!$A$31:$C$131,2)</f>
        <v>Unharmed / Fresh</v>
      </c>
      <c r="G67">
        <f t="shared" ref="G67:G130" si="7">SUM(H67:FY67)</f>
        <v>0</v>
      </c>
    </row>
    <row r="68" spans="2:7">
      <c r="B68">
        <v>120</v>
      </c>
      <c r="C68">
        <f t="shared" si="4"/>
        <v>120</v>
      </c>
      <c r="D68">
        <f t="shared" si="5"/>
        <v>0</v>
      </c>
      <c r="E68" s="2">
        <f t="shared" si="6"/>
        <v>100</v>
      </c>
      <c r="F68" t="str">
        <f>VLOOKUP(E68,Readme!$A$31:$C$131,2)</f>
        <v>Unharmed / Fresh</v>
      </c>
      <c r="G68">
        <f t="shared" si="7"/>
        <v>0</v>
      </c>
    </row>
    <row r="69" spans="2:7">
      <c r="B69">
        <v>120</v>
      </c>
      <c r="C69">
        <f t="shared" si="4"/>
        <v>120</v>
      </c>
      <c r="D69">
        <f t="shared" si="5"/>
        <v>0</v>
      </c>
      <c r="E69" s="2">
        <f t="shared" si="6"/>
        <v>100</v>
      </c>
      <c r="F69" t="str">
        <f>VLOOKUP(E69,Readme!$A$31:$C$131,2)</f>
        <v>Unharmed / Fresh</v>
      </c>
      <c r="G69">
        <f t="shared" si="7"/>
        <v>0</v>
      </c>
    </row>
    <row r="70" spans="2:7">
      <c r="B70">
        <v>120</v>
      </c>
      <c r="C70">
        <f t="shared" si="4"/>
        <v>120</v>
      </c>
      <c r="D70">
        <f t="shared" si="5"/>
        <v>0</v>
      </c>
      <c r="E70" s="2">
        <f t="shared" si="6"/>
        <v>100</v>
      </c>
      <c r="F70" t="str">
        <f>VLOOKUP(E70,Readme!$A$31:$C$131,2)</f>
        <v>Unharmed / Fresh</v>
      </c>
      <c r="G70">
        <f t="shared" si="7"/>
        <v>0</v>
      </c>
    </row>
    <row r="71" spans="2:7">
      <c r="B71">
        <v>120</v>
      </c>
      <c r="C71">
        <f t="shared" si="4"/>
        <v>120</v>
      </c>
      <c r="D71">
        <f t="shared" si="5"/>
        <v>0</v>
      </c>
      <c r="E71" s="2">
        <f t="shared" si="6"/>
        <v>100</v>
      </c>
      <c r="F71" t="str">
        <f>VLOOKUP(E71,Readme!$A$31:$C$131,2)</f>
        <v>Unharmed / Fresh</v>
      </c>
      <c r="G71">
        <f t="shared" si="7"/>
        <v>0</v>
      </c>
    </row>
    <row r="72" spans="2:7">
      <c r="B72">
        <v>120</v>
      </c>
      <c r="C72">
        <f t="shared" si="4"/>
        <v>120</v>
      </c>
      <c r="D72">
        <f t="shared" si="5"/>
        <v>0</v>
      </c>
      <c r="E72" s="2">
        <f t="shared" si="6"/>
        <v>100</v>
      </c>
      <c r="F72" t="str">
        <f>VLOOKUP(E72,Readme!$A$31:$C$131,2)</f>
        <v>Unharmed / Fresh</v>
      </c>
      <c r="G72">
        <f t="shared" si="7"/>
        <v>0</v>
      </c>
    </row>
    <row r="73" spans="2:7">
      <c r="B73">
        <v>120</v>
      </c>
      <c r="C73">
        <f t="shared" si="4"/>
        <v>120</v>
      </c>
      <c r="D73">
        <f t="shared" si="5"/>
        <v>0</v>
      </c>
      <c r="E73" s="2">
        <f t="shared" si="6"/>
        <v>100</v>
      </c>
      <c r="F73" t="str">
        <f>VLOOKUP(E73,Readme!$A$31:$C$131,2)</f>
        <v>Unharmed / Fresh</v>
      </c>
      <c r="G73">
        <f t="shared" si="7"/>
        <v>0</v>
      </c>
    </row>
    <row r="74" spans="2:7">
      <c r="B74">
        <v>120</v>
      </c>
      <c r="C74">
        <f t="shared" si="4"/>
        <v>120</v>
      </c>
      <c r="D74">
        <f t="shared" si="5"/>
        <v>0</v>
      </c>
      <c r="E74" s="2">
        <f t="shared" si="6"/>
        <v>100</v>
      </c>
      <c r="F74" t="str">
        <f>VLOOKUP(E74,Readme!$A$31:$C$131,2)</f>
        <v>Unharmed / Fresh</v>
      </c>
      <c r="G74">
        <f t="shared" si="7"/>
        <v>0</v>
      </c>
    </row>
    <row r="75" spans="2:7">
      <c r="B75">
        <v>120</v>
      </c>
      <c r="C75">
        <f t="shared" si="4"/>
        <v>120</v>
      </c>
      <c r="D75">
        <f t="shared" si="5"/>
        <v>0</v>
      </c>
      <c r="E75" s="2">
        <f t="shared" si="6"/>
        <v>100</v>
      </c>
      <c r="F75" t="str">
        <f>VLOOKUP(E75,Readme!$A$31:$C$131,2)</f>
        <v>Unharmed / Fresh</v>
      </c>
      <c r="G75">
        <f t="shared" si="7"/>
        <v>0</v>
      </c>
    </row>
    <row r="76" spans="2:7">
      <c r="B76">
        <v>120</v>
      </c>
      <c r="C76">
        <f t="shared" si="4"/>
        <v>120</v>
      </c>
      <c r="D76">
        <f t="shared" si="5"/>
        <v>0</v>
      </c>
      <c r="E76" s="2">
        <f t="shared" si="6"/>
        <v>100</v>
      </c>
      <c r="F76" t="str">
        <f>VLOOKUP(E76,Readme!$A$31:$C$131,2)</f>
        <v>Unharmed / Fresh</v>
      </c>
      <c r="G76">
        <f t="shared" si="7"/>
        <v>0</v>
      </c>
    </row>
    <row r="77" spans="2:7">
      <c r="B77">
        <v>120</v>
      </c>
      <c r="C77">
        <f t="shared" si="4"/>
        <v>120</v>
      </c>
      <c r="D77">
        <f t="shared" si="5"/>
        <v>0</v>
      </c>
      <c r="E77" s="2">
        <f t="shared" si="6"/>
        <v>100</v>
      </c>
      <c r="F77" t="str">
        <f>VLOOKUP(E77,Readme!$A$31:$C$131,2)</f>
        <v>Unharmed / Fresh</v>
      </c>
      <c r="G77">
        <f t="shared" si="7"/>
        <v>0</v>
      </c>
    </row>
    <row r="78" spans="2:7">
      <c r="B78">
        <v>120</v>
      </c>
      <c r="C78">
        <f t="shared" si="4"/>
        <v>120</v>
      </c>
      <c r="D78">
        <f t="shared" si="5"/>
        <v>0</v>
      </c>
      <c r="E78" s="2">
        <f t="shared" si="6"/>
        <v>100</v>
      </c>
      <c r="F78" t="str">
        <f>VLOOKUP(E78,Readme!$A$31:$C$131,2)</f>
        <v>Unharmed / Fresh</v>
      </c>
      <c r="G78">
        <f t="shared" si="7"/>
        <v>0</v>
      </c>
    </row>
    <row r="79" spans="2:7">
      <c r="B79">
        <v>120</v>
      </c>
      <c r="C79">
        <f t="shared" si="4"/>
        <v>120</v>
      </c>
      <c r="D79">
        <f t="shared" si="5"/>
        <v>0</v>
      </c>
      <c r="E79" s="2">
        <f t="shared" si="6"/>
        <v>100</v>
      </c>
      <c r="F79" t="str">
        <f>VLOOKUP(E79,Readme!$A$31:$C$131,2)</f>
        <v>Unharmed / Fresh</v>
      </c>
      <c r="G79">
        <f t="shared" si="7"/>
        <v>0</v>
      </c>
    </row>
    <row r="80" spans="2:7">
      <c r="B80">
        <v>120</v>
      </c>
      <c r="C80">
        <f t="shared" si="4"/>
        <v>120</v>
      </c>
      <c r="D80">
        <f t="shared" si="5"/>
        <v>0</v>
      </c>
      <c r="E80" s="2">
        <f t="shared" si="6"/>
        <v>100</v>
      </c>
      <c r="F80" t="str">
        <f>VLOOKUP(E80,Readme!$A$31:$C$131,2)</f>
        <v>Unharmed / Fresh</v>
      </c>
      <c r="G80">
        <f t="shared" si="7"/>
        <v>0</v>
      </c>
    </row>
    <row r="81" spans="2:7">
      <c r="B81">
        <v>120</v>
      </c>
      <c r="C81">
        <f t="shared" si="4"/>
        <v>120</v>
      </c>
      <c r="D81">
        <f t="shared" si="5"/>
        <v>0</v>
      </c>
      <c r="E81" s="2">
        <f t="shared" si="6"/>
        <v>100</v>
      </c>
      <c r="F81" t="str">
        <f>VLOOKUP(E81,Readme!$A$31:$C$131,2)</f>
        <v>Unharmed / Fresh</v>
      </c>
      <c r="G81">
        <f t="shared" si="7"/>
        <v>0</v>
      </c>
    </row>
    <row r="82" spans="2:7">
      <c r="B82">
        <v>120</v>
      </c>
      <c r="C82">
        <f t="shared" si="4"/>
        <v>120</v>
      </c>
      <c r="D82">
        <f t="shared" si="5"/>
        <v>0</v>
      </c>
      <c r="E82" s="2">
        <f t="shared" si="6"/>
        <v>100</v>
      </c>
      <c r="F82" t="str">
        <f>VLOOKUP(E82,Readme!$A$31:$C$131,2)</f>
        <v>Unharmed / Fresh</v>
      </c>
      <c r="G82">
        <f t="shared" si="7"/>
        <v>0</v>
      </c>
    </row>
    <row r="83" spans="2:7">
      <c r="B83">
        <v>120</v>
      </c>
      <c r="C83">
        <f t="shared" si="4"/>
        <v>120</v>
      </c>
      <c r="D83">
        <f t="shared" si="5"/>
        <v>0</v>
      </c>
      <c r="E83" s="2">
        <f t="shared" si="6"/>
        <v>100</v>
      </c>
      <c r="F83" t="str">
        <f>VLOOKUP(E83,Readme!$A$31:$C$131,2)</f>
        <v>Unharmed / Fresh</v>
      </c>
      <c r="G83">
        <f t="shared" si="7"/>
        <v>0</v>
      </c>
    </row>
    <row r="84" spans="2:7">
      <c r="B84">
        <v>120</v>
      </c>
      <c r="C84">
        <f t="shared" si="4"/>
        <v>120</v>
      </c>
      <c r="D84">
        <f t="shared" si="5"/>
        <v>0</v>
      </c>
      <c r="E84" s="2">
        <f t="shared" si="6"/>
        <v>100</v>
      </c>
      <c r="F84" t="str">
        <f>VLOOKUP(E84,Readme!$A$31:$C$131,2)</f>
        <v>Unharmed / Fresh</v>
      </c>
      <c r="G84">
        <f t="shared" si="7"/>
        <v>0</v>
      </c>
    </row>
    <row r="85" spans="2:7">
      <c r="B85">
        <v>120</v>
      </c>
      <c r="C85">
        <f t="shared" si="4"/>
        <v>120</v>
      </c>
      <c r="D85">
        <f t="shared" si="5"/>
        <v>0</v>
      </c>
      <c r="E85" s="2">
        <f t="shared" si="6"/>
        <v>100</v>
      </c>
      <c r="F85" t="str">
        <f>VLOOKUP(E85,Readme!$A$31:$C$131,2)</f>
        <v>Unharmed / Fresh</v>
      </c>
      <c r="G85">
        <f t="shared" si="7"/>
        <v>0</v>
      </c>
    </row>
    <row r="86" spans="2:7">
      <c r="B86">
        <v>120</v>
      </c>
      <c r="C86">
        <f t="shared" si="4"/>
        <v>120</v>
      </c>
      <c r="D86">
        <f t="shared" si="5"/>
        <v>0</v>
      </c>
      <c r="E86" s="2">
        <f t="shared" si="6"/>
        <v>100</v>
      </c>
      <c r="F86" t="str">
        <f>VLOOKUP(E86,Readme!$A$31:$C$131,2)</f>
        <v>Unharmed / Fresh</v>
      </c>
      <c r="G86">
        <f t="shared" si="7"/>
        <v>0</v>
      </c>
    </row>
    <row r="87" spans="2:7">
      <c r="B87">
        <v>120</v>
      </c>
      <c r="C87">
        <f t="shared" si="4"/>
        <v>120</v>
      </c>
      <c r="D87">
        <f t="shared" si="5"/>
        <v>0</v>
      </c>
      <c r="E87" s="2">
        <f t="shared" si="6"/>
        <v>100</v>
      </c>
      <c r="F87" t="str">
        <f>VLOOKUP(E87,Readme!$A$31:$C$131,2)</f>
        <v>Unharmed / Fresh</v>
      </c>
      <c r="G87">
        <f t="shared" si="7"/>
        <v>0</v>
      </c>
    </row>
    <row r="88" spans="2:7">
      <c r="B88">
        <v>120</v>
      </c>
      <c r="C88">
        <f t="shared" si="4"/>
        <v>120</v>
      </c>
      <c r="D88">
        <f t="shared" si="5"/>
        <v>0</v>
      </c>
      <c r="E88" s="2">
        <f t="shared" si="6"/>
        <v>100</v>
      </c>
      <c r="F88" t="str">
        <f>VLOOKUP(E88,Readme!$A$31:$C$131,2)</f>
        <v>Unharmed / Fresh</v>
      </c>
      <c r="G88">
        <f t="shared" si="7"/>
        <v>0</v>
      </c>
    </row>
    <row r="89" spans="2:7">
      <c r="B89">
        <v>120</v>
      </c>
      <c r="C89">
        <f t="shared" si="4"/>
        <v>120</v>
      </c>
      <c r="D89">
        <f t="shared" si="5"/>
        <v>0</v>
      </c>
      <c r="E89" s="2">
        <f t="shared" si="6"/>
        <v>100</v>
      </c>
      <c r="F89" t="str">
        <f>VLOOKUP(E89,Readme!$A$31:$C$131,2)</f>
        <v>Unharmed / Fresh</v>
      </c>
      <c r="G89">
        <f t="shared" si="7"/>
        <v>0</v>
      </c>
    </row>
    <row r="90" spans="2:7">
      <c r="B90">
        <v>120</v>
      </c>
      <c r="C90">
        <f t="shared" si="4"/>
        <v>120</v>
      </c>
      <c r="D90">
        <f t="shared" si="5"/>
        <v>0</v>
      </c>
      <c r="E90" s="2">
        <f t="shared" si="6"/>
        <v>100</v>
      </c>
      <c r="F90" t="str">
        <f>VLOOKUP(E90,Readme!$A$31:$C$131,2)</f>
        <v>Unharmed / Fresh</v>
      </c>
      <c r="G90">
        <f t="shared" si="7"/>
        <v>0</v>
      </c>
    </row>
    <row r="91" spans="2:7">
      <c r="B91">
        <v>120</v>
      </c>
      <c r="C91">
        <f t="shared" si="4"/>
        <v>120</v>
      </c>
      <c r="D91">
        <f t="shared" si="5"/>
        <v>0</v>
      </c>
      <c r="E91" s="2">
        <f t="shared" si="6"/>
        <v>100</v>
      </c>
      <c r="F91" t="str">
        <f>VLOOKUP(E91,Readme!$A$31:$C$131,2)</f>
        <v>Unharmed / Fresh</v>
      </c>
      <c r="G91">
        <f t="shared" si="7"/>
        <v>0</v>
      </c>
    </row>
    <row r="92" spans="2:7">
      <c r="B92">
        <v>120</v>
      </c>
      <c r="C92">
        <f t="shared" si="4"/>
        <v>120</v>
      </c>
      <c r="D92">
        <f t="shared" si="5"/>
        <v>0</v>
      </c>
      <c r="E92" s="2">
        <f t="shared" si="6"/>
        <v>100</v>
      </c>
      <c r="F92" t="str">
        <f>VLOOKUP(E92,Readme!$A$31:$C$131,2)</f>
        <v>Unharmed / Fresh</v>
      </c>
      <c r="G92">
        <f t="shared" si="7"/>
        <v>0</v>
      </c>
    </row>
    <row r="93" spans="2:7">
      <c r="B93">
        <v>120</v>
      </c>
      <c r="C93">
        <f t="shared" si="4"/>
        <v>120</v>
      </c>
      <c r="D93">
        <f t="shared" si="5"/>
        <v>0</v>
      </c>
      <c r="E93" s="2">
        <f t="shared" si="6"/>
        <v>100</v>
      </c>
      <c r="F93" t="str">
        <f>VLOOKUP(E93,Readme!$A$31:$C$131,2)</f>
        <v>Unharmed / Fresh</v>
      </c>
      <c r="G93">
        <f t="shared" si="7"/>
        <v>0</v>
      </c>
    </row>
    <row r="94" spans="2:7">
      <c r="B94">
        <v>120</v>
      </c>
      <c r="C94">
        <f t="shared" si="4"/>
        <v>120</v>
      </c>
      <c r="D94">
        <f t="shared" si="5"/>
        <v>0</v>
      </c>
      <c r="E94" s="2">
        <f t="shared" si="6"/>
        <v>100</v>
      </c>
      <c r="F94" t="str">
        <f>VLOOKUP(E94,Readme!$A$31:$C$131,2)</f>
        <v>Unharmed / Fresh</v>
      </c>
      <c r="G94">
        <f t="shared" si="7"/>
        <v>0</v>
      </c>
    </row>
    <row r="95" spans="2:7">
      <c r="B95">
        <v>120</v>
      </c>
      <c r="C95">
        <f t="shared" si="4"/>
        <v>120</v>
      </c>
      <c r="D95">
        <f t="shared" si="5"/>
        <v>0</v>
      </c>
      <c r="E95" s="2">
        <f t="shared" si="6"/>
        <v>100</v>
      </c>
      <c r="F95" t="str">
        <f>VLOOKUP(E95,Readme!$A$31:$C$131,2)</f>
        <v>Unharmed / Fresh</v>
      </c>
      <c r="G95">
        <f t="shared" si="7"/>
        <v>0</v>
      </c>
    </row>
    <row r="96" spans="2:7">
      <c r="B96">
        <v>120</v>
      </c>
      <c r="C96">
        <f t="shared" si="4"/>
        <v>120</v>
      </c>
      <c r="D96">
        <f t="shared" si="5"/>
        <v>0</v>
      </c>
      <c r="E96" s="2">
        <f t="shared" si="6"/>
        <v>100</v>
      </c>
      <c r="F96" t="str">
        <f>VLOOKUP(E96,Readme!$A$31:$C$131,2)</f>
        <v>Unharmed / Fresh</v>
      </c>
      <c r="G96">
        <f t="shared" si="7"/>
        <v>0</v>
      </c>
    </row>
    <row r="97" spans="2:7">
      <c r="B97">
        <v>120</v>
      </c>
      <c r="C97">
        <f t="shared" si="4"/>
        <v>120</v>
      </c>
      <c r="D97">
        <f t="shared" si="5"/>
        <v>0</v>
      </c>
      <c r="E97" s="2">
        <f t="shared" si="6"/>
        <v>100</v>
      </c>
      <c r="F97" t="str">
        <f>VLOOKUP(E97,Readme!$A$31:$C$131,2)</f>
        <v>Unharmed / Fresh</v>
      </c>
      <c r="G97">
        <f t="shared" si="7"/>
        <v>0</v>
      </c>
    </row>
    <row r="98" spans="2:7">
      <c r="B98">
        <v>120</v>
      </c>
      <c r="C98">
        <f t="shared" si="4"/>
        <v>120</v>
      </c>
      <c r="D98">
        <f t="shared" si="5"/>
        <v>0</v>
      </c>
      <c r="E98" s="2">
        <f t="shared" si="6"/>
        <v>100</v>
      </c>
      <c r="F98" t="str">
        <f>VLOOKUP(E98,Readme!$A$31:$C$131,2)</f>
        <v>Unharmed / Fresh</v>
      </c>
      <c r="G98">
        <f t="shared" si="7"/>
        <v>0</v>
      </c>
    </row>
    <row r="99" spans="2:7">
      <c r="B99">
        <v>120</v>
      </c>
      <c r="C99">
        <f t="shared" si="4"/>
        <v>120</v>
      </c>
      <c r="D99">
        <f t="shared" si="5"/>
        <v>0</v>
      </c>
      <c r="E99" s="2">
        <f t="shared" si="6"/>
        <v>100</v>
      </c>
      <c r="F99" t="str">
        <f>VLOOKUP(E99,Readme!$A$31:$C$131,2)</f>
        <v>Unharmed / Fresh</v>
      </c>
      <c r="G99">
        <f t="shared" si="7"/>
        <v>0</v>
      </c>
    </row>
    <row r="100" spans="2:7">
      <c r="B100">
        <v>120</v>
      </c>
      <c r="C100">
        <f t="shared" si="4"/>
        <v>120</v>
      </c>
      <c r="D100">
        <f t="shared" si="5"/>
        <v>0</v>
      </c>
      <c r="E100" s="2">
        <f t="shared" si="6"/>
        <v>100</v>
      </c>
      <c r="F100" t="str">
        <f>VLOOKUP(E100,Readme!$A$31:$C$131,2)</f>
        <v>Unharmed / Fresh</v>
      </c>
      <c r="G100">
        <f t="shared" si="7"/>
        <v>0</v>
      </c>
    </row>
    <row r="101" spans="2:7">
      <c r="B101">
        <v>120</v>
      </c>
      <c r="C101">
        <f t="shared" si="4"/>
        <v>120</v>
      </c>
      <c r="D101">
        <f t="shared" si="5"/>
        <v>0</v>
      </c>
      <c r="E101" s="2">
        <f t="shared" si="6"/>
        <v>100</v>
      </c>
      <c r="F101" t="str">
        <f>VLOOKUP(E101,Readme!$A$31:$C$131,2)</f>
        <v>Unharmed / Fresh</v>
      </c>
      <c r="G101">
        <f t="shared" si="7"/>
        <v>0</v>
      </c>
    </row>
    <row r="102" spans="2:7">
      <c r="B102">
        <v>120</v>
      </c>
      <c r="C102">
        <f t="shared" si="4"/>
        <v>120</v>
      </c>
      <c r="D102">
        <f t="shared" si="5"/>
        <v>0</v>
      </c>
      <c r="E102" s="2">
        <f t="shared" si="6"/>
        <v>100</v>
      </c>
      <c r="F102" t="str">
        <f>VLOOKUP(E102,Readme!$A$31:$C$131,2)</f>
        <v>Unharmed / Fresh</v>
      </c>
      <c r="G102">
        <f t="shared" si="7"/>
        <v>0</v>
      </c>
    </row>
    <row r="103" spans="2:7">
      <c r="B103">
        <v>120</v>
      </c>
      <c r="C103">
        <f t="shared" si="4"/>
        <v>120</v>
      </c>
      <c r="D103">
        <f t="shared" si="5"/>
        <v>0</v>
      </c>
      <c r="E103" s="2">
        <f t="shared" si="6"/>
        <v>100</v>
      </c>
      <c r="F103" t="str">
        <f>VLOOKUP(E103,Readme!$A$31:$C$131,2)</f>
        <v>Unharmed / Fresh</v>
      </c>
      <c r="G103">
        <f t="shared" si="7"/>
        <v>0</v>
      </c>
    </row>
    <row r="104" spans="2:7">
      <c r="B104">
        <v>120</v>
      </c>
      <c r="C104">
        <f t="shared" si="4"/>
        <v>120</v>
      </c>
      <c r="D104">
        <f t="shared" si="5"/>
        <v>0</v>
      </c>
      <c r="E104" s="2">
        <f t="shared" si="6"/>
        <v>100</v>
      </c>
      <c r="F104" t="str">
        <f>VLOOKUP(E104,Readme!$A$31:$C$131,2)</f>
        <v>Unharmed / Fresh</v>
      </c>
      <c r="G104">
        <f t="shared" si="7"/>
        <v>0</v>
      </c>
    </row>
    <row r="105" spans="2:7">
      <c r="B105">
        <v>120</v>
      </c>
      <c r="C105">
        <f t="shared" si="4"/>
        <v>120</v>
      </c>
      <c r="D105">
        <f t="shared" si="5"/>
        <v>0</v>
      </c>
      <c r="E105" s="2">
        <f t="shared" si="6"/>
        <v>100</v>
      </c>
      <c r="F105" t="str">
        <f>VLOOKUP(E105,Readme!$A$31:$C$131,2)</f>
        <v>Unharmed / Fresh</v>
      </c>
      <c r="G105">
        <f t="shared" si="7"/>
        <v>0</v>
      </c>
    </row>
    <row r="106" spans="2:7">
      <c r="B106">
        <v>120</v>
      </c>
      <c r="C106">
        <f t="shared" si="4"/>
        <v>120</v>
      </c>
      <c r="D106">
        <f t="shared" si="5"/>
        <v>0</v>
      </c>
      <c r="E106" s="2">
        <f t="shared" si="6"/>
        <v>100</v>
      </c>
      <c r="F106" t="str">
        <f>VLOOKUP(E106,Readme!$A$31:$C$131,2)</f>
        <v>Unharmed / Fresh</v>
      </c>
      <c r="G106">
        <f t="shared" si="7"/>
        <v>0</v>
      </c>
    </row>
    <row r="107" spans="2:7">
      <c r="B107">
        <v>120</v>
      </c>
      <c r="C107">
        <f t="shared" si="4"/>
        <v>120</v>
      </c>
      <c r="D107">
        <f t="shared" si="5"/>
        <v>0</v>
      </c>
      <c r="E107" s="2">
        <f t="shared" si="6"/>
        <v>100</v>
      </c>
      <c r="F107" t="str">
        <f>VLOOKUP(E107,Readme!$A$31:$C$131,2)</f>
        <v>Unharmed / Fresh</v>
      </c>
      <c r="G107">
        <f t="shared" si="7"/>
        <v>0</v>
      </c>
    </row>
    <row r="108" spans="2:7">
      <c r="B108">
        <v>120</v>
      </c>
      <c r="C108">
        <f t="shared" si="4"/>
        <v>120</v>
      </c>
      <c r="D108">
        <f t="shared" si="5"/>
        <v>0</v>
      </c>
      <c r="E108" s="2">
        <f t="shared" si="6"/>
        <v>100</v>
      </c>
      <c r="F108" t="str">
        <f>VLOOKUP(E108,Readme!$A$31:$C$131,2)</f>
        <v>Unharmed / Fresh</v>
      </c>
      <c r="G108">
        <f t="shared" si="7"/>
        <v>0</v>
      </c>
    </row>
    <row r="109" spans="2:7">
      <c r="B109">
        <v>120</v>
      </c>
      <c r="C109">
        <f t="shared" si="4"/>
        <v>120</v>
      </c>
      <c r="D109">
        <f t="shared" si="5"/>
        <v>0</v>
      </c>
      <c r="E109" s="2">
        <f t="shared" si="6"/>
        <v>100</v>
      </c>
      <c r="F109" t="str">
        <f>VLOOKUP(E109,Readme!$A$31:$C$131,2)</f>
        <v>Unharmed / Fresh</v>
      </c>
      <c r="G109">
        <f t="shared" si="7"/>
        <v>0</v>
      </c>
    </row>
    <row r="110" spans="2:7">
      <c r="B110">
        <v>120</v>
      </c>
      <c r="C110">
        <f t="shared" si="4"/>
        <v>120</v>
      </c>
      <c r="D110">
        <f t="shared" si="5"/>
        <v>0</v>
      </c>
      <c r="E110" s="2">
        <f t="shared" si="6"/>
        <v>100</v>
      </c>
      <c r="F110" t="str">
        <f>VLOOKUP(E110,Readme!$A$31:$C$131,2)</f>
        <v>Unharmed / Fresh</v>
      </c>
      <c r="G110">
        <f t="shared" si="7"/>
        <v>0</v>
      </c>
    </row>
    <row r="111" spans="2:7">
      <c r="B111">
        <v>120</v>
      </c>
      <c r="C111">
        <f t="shared" si="4"/>
        <v>120</v>
      </c>
      <c r="D111">
        <f t="shared" si="5"/>
        <v>0</v>
      </c>
      <c r="E111" s="2">
        <f t="shared" si="6"/>
        <v>100</v>
      </c>
      <c r="F111" t="str">
        <f>VLOOKUP(E111,Readme!$A$31:$C$131,2)</f>
        <v>Unharmed / Fresh</v>
      </c>
      <c r="G111">
        <f t="shared" si="7"/>
        <v>0</v>
      </c>
    </row>
    <row r="112" spans="2:7">
      <c r="B112">
        <v>120</v>
      </c>
      <c r="C112">
        <f t="shared" si="4"/>
        <v>120</v>
      </c>
      <c r="D112">
        <f t="shared" si="5"/>
        <v>0</v>
      </c>
      <c r="E112" s="2">
        <f t="shared" si="6"/>
        <v>100</v>
      </c>
      <c r="F112" t="str">
        <f>VLOOKUP(E112,Readme!$A$31:$C$131,2)</f>
        <v>Unharmed / Fresh</v>
      </c>
      <c r="G112">
        <f t="shared" si="7"/>
        <v>0</v>
      </c>
    </row>
    <row r="113" spans="2:7">
      <c r="B113">
        <v>120</v>
      </c>
      <c r="C113">
        <f t="shared" si="4"/>
        <v>120</v>
      </c>
      <c r="D113">
        <f t="shared" si="5"/>
        <v>0</v>
      </c>
      <c r="E113" s="2">
        <f t="shared" si="6"/>
        <v>100</v>
      </c>
      <c r="F113" t="str">
        <f>VLOOKUP(E113,Readme!$A$31:$C$131,2)</f>
        <v>Unharmed / Fresh</v>
      </c>
      <c r="G113">
        <f t="shared" si="7"/>
        <v>0</v>
      </c>
    </row>
    <row r="114" spans="2:7">
      <c r="B114">
        <v>120</v>
      </c>
      <c r="C114">
        <f t="shared" si="4"/>
        <v>120</v>
      </c>
      <c r="D114">
        <f t="shared" si="5"/>
        <v>0</v>
      </c>
      <c r="E114" s="2">
        <f t="shared" si="6"/>
        <v>100</v>
      </c>
      <c r="F114" t="str">
        <f>VLOOKUP(E114,Readme!$A$31:$C$131,2)</f>
        <v>Unharmed / Fresh</v>
      </c>
      <c r="G114">
        <f t="shared" si="7"/>
        <v>0</v>
      </c>
    </row>
    <row r="115" spans="2:7">
      <c r="B115">
        <v>120</v>
      </c>
      <c r="C115">
        <f t="shared" si="4"/>
        <v>120</v>
      </c>
      <c r="D115">
        <f t="shared" si="5"/>
        <v>0</v>
      </c>
      <c r="E115" s="2">
        <f t="shared" si="6"/>
        <v>100</v>
      </c>
      <c r="F115" t="str">
        <f>VLOOKUP(E115,Readme!$A$31:$C$131,2)</f>
        <v>Unharmed / Fresh</v>
      </c>
      <c r="G115">
        <f t="shared" si="7"/>
        <v>0</v>
      </c>
    </row>
    <row r="116" spans="2:7">
      <c r="B116">
        <v>120</v>
      </c>
      <c r="C116">
        <f t="shared" si="4"/>
        <v>120</v>
      </c>
      <c r="D116">
        <f t="shared" si="5"/>
        <v>0</v>
      </c>
      <c r="E116" s="2">
        <f t="shared" si="6"/>
        <v>100</v>
      </c>
      <c r="F116" t="str">
        <f>VLOOKUP(E116,Readme!$A$31:$C$131,2)</f>
        <v>Unharmed / Fresh</v>
      </c>
      <c r="G116">
        <f t="shared" si="7"/>
        <v>0</v>
      </c>
    </row>
    <row r="117" spans="2:7">
      <c r="B117">
        <v>120</v>
      </c>
      <c r="C117">
        <f t="shared" si="4"/>
        <v>120</v>
      </c>
      <c r="D117">
        <f t="shared" si="5"/>
        <v>0</v>
      </c>
      <c r="E117" s="2">
        <f t="shared" si="6"/>
        <v>100</v>
      </c>
      <c r="F117" t="str">
        <f>VLOOKUP(E117,Readme!$A$31:$C$131,2)</f>
        <v>Unharmed / Fresh</v>
      </c>
      <c r="G117">
        <f t="shared" si="7"/>
        <v>0</v>
      </c>
    </row>
    <row r="118" spans="2:7">
      <c r="B118">
        <v>120</v>
      </c>
      <c r="C118">
        <f t="shared" si="4"/>
        <v>120</v>
      </c>
      <c r="D118">
        <f t="shared" si="5"/>
        <v>0</v>
      </c>
      <c r="E118" s="2">
        <f t="shared" si="6"/>
        <v>100</v>
      </c>
      <c r="F118" t="str">
        <f>VLOOKUP(E118,Readme!$A$31:$C$131,2)</f>
        <v>Unharmed / Fresh</v>
      </c>
      <c r="G118">
        <f t="shared" si="7"/>
        <v>0</v>
      </c>
    </row>
    <row r="119" spans="2:7">
      <c r="B119">
        <v>120</v>
      </c>
      <c r="C119">
        <f t="shared" si="4"/>
        <v>120</v>
      </c>
      <c r="D119">
        <f t="shared" si="5"/>
        <v>0</v>
      </c>
      <c r="E119" s="2">
        <f t="shared" si="6"/>
        <v>100</v>
      </c>
      <c r="F119" t="str">
        <f>VLOOKUP(E119,Readme!$A$31:$C$131,2)</f>
        <v>Unharmed / Fresh</v>
      </c>
      <c r="G119">
        <f t="shared" si="7"/>
        <v>0</v>
      </c>
    </row>
    <row r="120" spans="2:7">
      <c r="B120">
        <v>120</v>
      </c>
      <c r="C120">
        <f t="shared" si="4"/>
        <v>120</v>
      </c>
      <c r="D120">
        <f t="shared" si="5"/>
        <v>0</v>
      </c>
      <c r="E120" s="2">
        <f t="shared" si="6"/>
        <v>100</v>
      </c>
      <c r="F120" t="str">
        <f>VLOOKUP(E120,Readme!$A$31:$C$131,2)</f>
        <v>Unharmed / Fresh</v>
      </c>
      <c r="G120">
        <f t="shared" si="7"/>
        <v>0</v>
      </c>
    </row>
    <row r="121" spans="2:7">
      <c r="B121">
        <v>120</v>
      </c>
      <c r="C121">
        <f t="shared" si="4"/>
        <v>120</v>
      </c>
      <c r="D121">
        <f t="shared" si="5"/>
        <v>0</v>
      </c>
      <c r="E121" s="2">
        <f t="shared" si="6"/>
        <v>100</v>
      </c>
      <c r="F121" t="str">
        <f>VLOOKUP(E121,Readme!$A$31:$C$131,2)</f>
        <v>Unharmed / Fresh</v>
      </c>
      <c r="G121">
        <f t="shared" si="7"/>
        <v>0</v>
      </c>
    </row>
    <row r="122" spans="2:7">
      <c r="B122">
        <v>120</v>
      </c>
      <c r="C122">
        <f t="shared" si="4"/>
        <v>120</v>
      </c>
      <c r="D122">
        <f t="shared" si="5"/>
        <v>0</v>
      </c>
      <c r="E122" s="2">
        <f t="shared" si="6"/>
        <v>100</v>
      </c>
      <c r="F122" t="str">
        <f>VLOOKUP(E122,Readme!$A$31:$C$131,2)</f>
        <v>Unharmed / Fresh</v>
      </c>
      <c r="G122">
        <f t="shared" si="7"/>
        <v>0</v>
      </c>
    </row>
    <row r="123" spans="2:7">
      <c r="B123">
        <v>120</v>
      </c>
      <c r="C123">
        <f t="shared" si="4"/>
        <v>120</v>
      </c>
      <c r="D123">
        <f t="shared" si="5"/>
        <v>0</v>
      </c>
      <c r="E123" s="2">
        <f t="shared" si="6"/>
        <v>100</v>
      </c>
      <c r="F123" t="str">
        <f>VLOOKUP(E123,Readme!$A$31:$C$131,2)</f>
        <v>Unharmed / Fresh</v>
      </c>
      <c r="G123">
        <f t="shared" si="7"/>
        <v>0</v>
      </c>
    </row>
    <row r="124" spans="2:7">
      <c r="B124">
        <v>120</v>
      </c>
      <c r="C124">
        <f t="shared" si="4"/>
        <v>120</v>
      </c>
      <c r="D124">
        <f t="shared" si="5"/>
        <v>0</v>
      </c>
      <c r="E124" s="2">
        <f t="shared" si="6"/>
        <v>100</v>
      </c>
      <c r="F124" t="str">
        <f>VLOOKUP(E124,Readme!$A$31:$C$131,2)</f>
        <v>Unharmed / Fresh</v>
      </c>
      <c r="G124">
        <f t="shared" si="7"/>
        <v>0</v>
      </c>
    </row>
    <row r="125" spans="2:7">
      <c r="B125">
        <v>120</v>
      </c>
      <c r="C125">
        <f t="shared" si="4"/>
        <v>120</v>
      </c>
      <c r="D125">
        <f t="shared" si="5"/>
        <v>0</v>
      </c>
      <c r="E125" s="2">
        <f t="shared" si="6"/>
        <v>100</v>
      </c>
      <c r="F125" t="str">
        <f>VLOOKUP(E125,Readme!$A$31:$C$131,2)</f>
        <v>Unharmed / Fresh</v>
      </c>
      <c r="G125">
        <f t="shared" si="7"/>
        <v>0</v>
      </c>
    </row>
    <row r="126" spans="2:7">
      <c r="B126">
        <v>120</v>
      </c>
      <c r="C126">
        <f t="shared" si="4"/>
        <v>120</v>
      </c>
      <c r="D126">
        <f t="shared" si="5"/>
        <v>0</v>
      </c>
      <c r="E126" s="2">
        <f t="shared" si="6"/>
        <v>100</v>
      </c>
      <c r="F126" t="str">
        <f>VLOOKUP(E126,Readme!$A$31:$C$131,2)</f>
        <v>Unharmed / Fresh</v>
      </c>
      <c r="G126">
        <f t="shared" si="7"/>
        <v>0</v>
      </c>
    </row>
    <row r="127" spans="2:7">
      <c r="B127">
        <v>120</v>
      </c>
      <c r="C127">
        <f t="shared" si="4"/>
        <v>120</v>
      </c>
      <c r="D127">
        <f t="shared" si="5"/>
        <v>0</v>
      </c>
      <c r="E127" s="2">
        <f t="shared" si="6"/>
        <v>100</v>
      </c>
      <c r="F127" t="str">
        <f>VLOOKUP(E127,Readme!$A$31:$C$131,2)</f>
        <v>Unharmed / Fresh</v>
      </c>
      <c r="G127">
        <f t="shared" si="7"/>
        <v>0</v>
      </c>
    </row>
    <row r="128" spans="2:7">
      <c r="B128">
        <v>120</v>
      </c>
      <c r="C128">
        <f t="shared" si="4"/>
        <v>120</v>
      </c>
      <c r="D128">
        <f t="shared" si="5"/>
        <v>0</v>
      </c>
      <c r="E128" s="2">
        <f t="shared" si="6"/>
        <v>100</v>
      </c>
      <c r="F128" t="str">
        <f>VLOOKUP(E128,Readme!$A$31:$C$131,2)</f>
        <v>Unharmed / Fresh</v>
      </c>
      <c r="G128">
        <f t="shared" si="7"/>
        <v>0</v>
      </c>
    </row>
    <row r="129" spans="2:7">
      <c r="B129">
        <v>120</v>
      </c>
      <c r="C129">
        <f t="shared" si="4"/>
        <v>120</v>
      </c>
      <c r="D129">
        <f t="shared" si="5"/>
        <v>0</v>
      </c>
      <c r="E129" s="2">
        <f t="shared" si="6"/>
        <v>100</v>
      </c>
      <c r="F129" t="str">
        <f>VLOOKUP(E129,Readme!$A$31:$C$131,2)</f>
        <v>Unharmed / Fresh</v>
      </c>
      <c r="G129">
        <f t="shared" si="7"/>
        <v>0</v>
      </c>
    </row>
    <row r="130" spans="2:7">
      <c r="B130">
        <v>120</v>
      </c>
      <c r="C130">
        <f t="shared" si="4"/>
        <v>120</v>
      </c>
      <c r="D130">
        <f t="shared" si="5"/>
        <v>0</v>
      </c>
      <c r="E130" s="2">
        <f t="shared" si="6"/>
        <v>100</v>
      </c>
      <c r="F130" t="str">
        <f>VLOOKUP(E130,Readme!$A$31:$C$131,2)</f>
        <v>Unharmed / Fresh</v>
      </c>
      <c r="G130">
        <f t="shared" si="7"/>
        <v>0</v>
      </c>
    </row>
    <row r="131" spans="2:7">
      <c r="B131">
        <v>120</v>
      </c>
      <c r="C131">
        <f t="shared" ref="C131:C194" si="8">B131-G131</f>
        <v>120</v>
      </c>
      <c r="D131">
        <f t="shared" ref="D131:D194" si="9">B131-C131</f>
        <v>0</v>
      </c>
      <c r="E131" s="2">
        <f t="shared" ref="E131:E194" si="10">(C131/B131)*100</f>
        <v>100</v>
      </c>
      <c r="F131" t="str">
        <f>VLOOKUP(E131,Readme!$A$31:$C$131,2)</f>
        <v>Unharmed / Fresh</v>
      </c>
      <c r="G131">
        <f t="shared" ref="G131:G194" si="11">SUM(H131:FY131)</f>
        <v>0</v>
      </c>
    </row>
    <row r="132" spans="2:7">
      <c r="B132">
        <v>120</v>
      </c>
      <c r="C132">
        <f t="shared" si="8"/>
        <v>120</v>
      </c>
      <c r="D132">
        <f t="shared" si="9"/>
        <v>0</v>
      </c>
      <c r="E132" s="2">
        <f t="shared" si="10"/>
        <v>100</v>
      </c>
      <c r="F132" t="str">
        <f>VLOOKUP(E132,Readme!$A$31:$C$131,2)</f>
        <v>Unharmed / Fresh</v>
      </c>
      <c r="G132">
        <f t="shared" si="11"/>
        <v>0</v>
      </c>
    </row>
    <row r="133" spans="2:7">
      <c r="B133">
        <v>120</v>
      </c>
      <c r="C133">
        <f t="shared" si="8"/>
        <v>120</v>
      </c>
      <c r="D133">
        <f t="shared" si="9"/>
        <v>0</v>
      </c>
      <c r="E133" s="2">
        <f t="shared" si="10"/>
        <v>100</v>
      </c>
      <c r="F133" t="str">
        <f>VLOOKUP(E133,Readme!$A$31:$C$131,2)</f>
        <v>Unharmed / Fresh</v>
      </c>
      <c r="G133">
        <f t="shared" si="11"/>
        <v>0</v>
      </c>
    </row>
    <row r="134" spans="2:7">
      <c r="B134">
        <v>120</v>
      </c>
      <c r="C134">
        <f t="shared" si="8"/>
        <v>120</v>
      </c>
      <c r="D134">
        <f t="shared" si="9"/>
        <v>0</v>
      </c>
      <c r="E134" s="2">
        <f t="shared" si="10"/>
        <v>100</v>
      </c>
      <c r="F134" t="str">
        <f>VLOOKUP(E134,Readme!$A$31:$C$131,2)</f>
        <v>Unharmed / Fresh</v>
      </c>
      <c r="G134">
        <f t="shared" si="11"/>
        <v>0</v>
      </c>
    </row>
    <row r="135" spans="2:7">
      <c r="B135">
        <v>120</v>
      </c>
      <c r="C135">
        <f t="shared" si="8"/>
        <v>120</v>
      </c>
      <c r="D135">
        <f t="shared" si="9"/>
        <v>0</v>
      </c>
      <c r="E135" s="2">
        <f t="shared" si="10"/>
        <v>100</v>
      </c>
      <c r="F135" t="str">
        <f>VLOOKUP(E135,Readme!$A$31:$C$131,2)</f>
        <v>Unharmed / Fresh</v>
      </c>
      <c r="G135">
        <f t="shared" si="11"/>
        <v>0</v>
      </c>
    </row>
    <row r="136" spans="2:7">
      <c r="B136">
        <v>120</v>
      </c>
      <c r="C136">
        <f t="shared" si="8"/>
        <v>120</v>
      </c>
      <c r="D136">
        <f t="shared" si="9"/>
        <v>0</v>
      </c>
      <c r="E136" s="2">
        <f t="shared" si="10"/>
        <v>100</v>
      </c>
      <c r="F136" t="str">
        <f>VLOOKUP(E136,Readme!$A$31:$C$131,2)</f>
        <v>Unharmed / Fresh</v>
      </c>
      <c r="G136">
        <f t="shared" si="11"/>
        <v>0</v>
      </c>
    </row>
    <row r="137" spans="2:7">
      <c r="B137">
        <v>120</v>
      </c>
      <c r="C137">
        <f t="shared" si="8"/>
        <v>120</v>
      </c>
      <c r="D137">
        <f t="shared" si="9"/>
        <v>0</v>
      </c>
      <c r="E137" s="2">
        <f t="shared" si="10"/>
        <v>100</v>
      </c>
      <c r="F137" t="str">
        <f>VLOOKUP(E137,Readme!$A$31:$C$131,2)</f>
        <v>Unharmed / Fresh</v>
      </c>
      <c r="G137">
        <f t="shared" si="11"/>
        <v>0</v>
      </c>
    </row>
    <row r="138" spans="2:7">
      <c r="B138">
        <v>120</v>
      </c>
      <c r="C138">
        <f t="shared" si="8"/>
        <v>120</v>
      </c>
      <c r="D138">
        <f t="shared" si="9"/>
        <v>0</v>
      </c>
      <c r="E138" s="2">
        <f t="shared" si="10"/>
        <v>100</v>
      </c>
      <c r="F138" t="str">
        <f>VLOOKUP(E138,Readme!$A$31:$C$131,2)</f>
        <v>Unharmed / Fresh</v>
      </c>
      <c r="G138">
        <f t="shared" si="11"/>
        <v>0</v>
      </c>
    </row>
    <row r="139" spans="2:7">
      <c r="B139">
        <v>120</v>
      </c>
      <c r="C139">
        <f t="shared" si="8"/>
        <v>120</v>
      </c>
      <c r="D139">
        <f t="shared" si="9"/>
        <v>0</v>
      </c>
      <c r="E139" s="2">
        <f t="shared" si="10"/>
        <v>100</v>
      </c>
      <c r="F139" t="str">
        <f>VLOOKUP(E139,Readme!$A$31:$C$131,2)</f>
        <v>Unharmed / Fresh</v>
      </c>
      <c r="G139">
        <f t="shared" si="11"/>
        <v>0</v>
      </c>
    </row>
    <row r="140" spans="2:7">
      <c r="B140">
        <v>120</v>
      </c>
      <c r="C140">
        <f t="shared" si="8"/>
        <v>120</v>
      </c>
      <c r="D140">
        <f t="shared" si="9"/>
        <v>0</v>
      </c>
      <c r="E140" s="2">
        <f t="shared" si="10"/>
        <v>100</v>
      </c>
      <c r="F140" t="str">
        <f>VLOOKUP(E140,Readme!$A$31:$C$131,2)</f>
        <v>Unharmed / Fresh</v>
      </c>
      <c r="G140">
        <f t="shared" si="11"/>
        <v>0</v>
      </c>
    </row>
    <row r="141" spans="2:7">
      <c r="B141">
        <v>120</v>
      </c>
      <c r="C141">
        <f t="shared" si="8"/>
        <v>120</v>
      </c>
      <c r="D141">
        <f t="shared" si="9"/>
        <v>0</v>
      </c>
      <c r="E141" s="2">
        <f t="shared" si="10"/>
        <v>100</v>
      </c>
      <c r="F141" t="str">
        <f>VLOOKUP(E141,Readme!$A$31:$C$131,2)</f>
        <v>Unharmed / Fresh</v>
      </c>
      <c r="G141">
        <f t="shared" si="11"/>
        <v>0</v>
      </c>
    </row>
    <row r="142" spans="2:7">
      <c r="B142">
        <v>120</v>
      </c>
      <c r="C142">
        <f t="shared" si="8"/>
        <v>120</v>
      </c>
      <c r="D142">
        <f t="shared" si="9"/>
        <v>0</v>
      </c>
      <c r="E142" s="2">
        <f t="shared" si="10"/>
        <v>100</v>
      </c>
      <c r="F142" t="str">
        <f>VLOOKUP(E142,Readme!$A$31:$C$131,2)</f>
        <v>Unharmed / Fresh</v>
      </c>
      <c r="G142">
        <f t="shared" si="11"/>
        <v>0</v>
      </c>
    </row>
    <row r="143" spans="2:7">
      <c r="B143">
        <v>120</v>
      </c>
      <c r="C143">
        <f t="shared" si="8"/>
        <v>120</v>
      </c>
      <c r="D143">
        <f t="shared" si="9"/>
        <v>0</v>
      </c>
      <c r="E143" s="2">
        <f t="shared" si="10"/>
        <v>100</v>
      </c>
      <c r="F143" t="str">
        <f>VLOOKUP(E143,Readme!$A$31:$C$131,2)</f>
        <v>Unharmed / Fresh</v>
      </c>
      <c r="G143">
        <f t="shared" si="11"/>
        <v>0</v>
      </c>
    </row>
    <row r="144" spans="2:7">
      <c r="B144">
        <v>120</v>
      </c>
      <c r="C144">
        <f t="shared" si="8"/>
        <v>120</v>
      </c>
      <c r="D144">
        <f t="shared" si="9"/>
        <v>0</v>
      </c>
      <c r="E144" s="2">
        <f t="shared" si="10"/>
        <v>100</v>
      </c>
      <c r="F144" t="str">
        <f>VLOOKUP(E144,Readme!$A$31:$C$131,2)</f>
        <v>Unharmed / Fresh</v>
      </c>
      <c r="G144">
        <f t="shared" si="11"/>
        <v>0</v>
      </c>
    </row>
    <row r="145" spans="2:7">
      <c r="B145">
        <v>120</v>
      </c>
      <c r="C145">
        <f t="shared" si="8"/>
        <v>120</v>
      </c>
      <c r="D145">
        <f t="shared" si="9"/>
        <v>0</v>
      </c>
      <c r="E145" s="2">
        <f t="shared" si="10"/>
        <v>100</v>
      </c>
      <c r="F145" t="str">
        <f>VLOOKUP(E145,Readme!$A$31:$C$131,2)</f>
        <v>Unharmed / Fresh</v>
      </c>
      <c r="G145">
        <f t="shared" si="11"/>
        <v>0</v>
      </c>
    </row>
    <row r="146" spans="2:7">
      <c r="B146">
        <v>120</v>
      </c>
      <c r="C146">
        <f t="shared" si="8"/>
        <v>120</v>
      </c>
      <c r="D146">
        <f t="shared" si="9"/>
        <v>0</v>
      </c>
      <c r="E146" s="2">
        <f t="shared" si="10"/>
        <v>100</v>
      </c>
      <c r="F146" t="str">
        <f>VLOOKUP(E146,Readme!$A$31:$C$131,2)</f>
        <v>Unharmed / Fresh</v>
      </c>
      <c r="G146">
        <f t="shared" si="11"/>
        <v>0</v>
      </c>
    </row>
    <row r="147" spans="2:7">
      <c r="B147">
        <v>120</v>
      </c>
      <c r="C147">
        <f t="shared" si="8"/>
        <v>120</v>
      </c>
      <c r="D147">
        <f t="shared" si="9"/>
        <v>0</v>
      </c>
      <c r="E147" s="2">
        <f t="shared" si="10"/>
        <v>100</v>
      </c>
      <c r="F147" t="str">
        <f>VLOOKUP(E147,Readme!$A$31:$C$131,2)</f>
        <v>Unharmed / Fresh</v>
      </c>
      <c r="G147">
        <f t="shared" si="11"/>
        <v>0</v>
      </c>
    </row>
    <row r="148" spans="2:7">
      <c r="B148">
        <v>120</v>
      </c>
      <c r="C148">
        <f t="shared" si="8"/>
        <v>120</v>
      </c>
      <c r="D148">
        <f t="shared" si="9"/>
        <v>0</v>
      </c>
      <c r="E148" s="2">
        <f t="shared" si="10"/>
        <v>100</v>
      </c>
      <c r="F148" t="str">
        <f>VLOOKUP(E148,Readme!$A$31:$C$131,2)</f>
        <v>Unharmed / Fresh</v>
      </c>
      <c r="G148">
        <f t="shared" si="11"/>
        <v>0</v>
      </c>
    </row>
    <row r="149" spans="2:7">
      <c r="B149">
        <v>120</v>
      </c>
      <c r="C149">
        <f t="shared" si="8"/>
        <v>120</v>
      </c>
      <c r="D149">
        <f t="shared" si="9"/>
        <v>0</v>
      </c>
      <c r="E149" s="2">
        <f t="shared" si="10"/>
        <v>100</v>
      </c>
      <c r="F149" t="str">
        <f>VLOOKUP(E149,Readme!$A$31:$C$131,2)</f>
        <v>Unharmed / Fresh</v>
      </c>
      <c r="G149">
        <f t="shared" si="11"/>
        <v>0</v>
      </c>
    </row>
    <row r="150" spans="2:7">
      <c r="B150">
        <v>120</v>
      </c>
      <c r="C150">
        <f t="shared" si="8"/>
        <v>120</v>
      </c>
      <c r="D150">
        <f t="shared" si="9"/>
        <v>0</v>
      </c>
      <c r="E150" s="2">
        <f t="shared" si="10"/>
        <v>100</v>
      </c>
      <c r="F150" t="str">
        <f>VLOOKUP(E150,Readme!$A$31:$C$131,2)</f>
        <v>Unharmed / Fresh</v>
      </c>
      <c r="G150">
        <f t="shared" si="11"/>
        <v>0</v>
      </c>
    </row>
    <row r="151" spans="2:7">
      <c r="B151">
        <v>120</v>
      </c>
      <c r="C151">
        <f t="shared" si="8"/>
        <v>120</v>
      </c>
      <c r="D151">
        <f t="shared" si="9"/>
        <v>0</v>
      </c>
      <c r="E151" s="2">
        <f t="shared" si="10"/>
        <v>100</v>
      </c>
      <c r="F151" t="str">
        <f>VLOOKUP(E151,Readme!$A$31:$C$131,2)</f>
        <v>Unharmed / Fresh</v>
      </c>
      <c r="G151">
        <f t="shared" si="11"/>
        <v>0</v>
      </c>
    </row>
    <row r="152" spans="2:7">
      <c r="B152">
        <v>120</v>
      </c>
      <c r="C152">
        <f t="shared" si="8"/>
        <v>120</v>
      </c>
      <c r="D152">
        <f t="shared" si="9"/>
        <v>0</v>
      </c>
      <c r="E152" s="2">
        <f t="shared" si="10"/>
        <v>100</v>
      </c>
      <c r="F152" t="str">
        <f>VLOOKUP(E152,Readme!$A$31:$C$131,2)</f>
        <v>Unharmed / Fresh</v>
      </c>
      <c r="G152">
        <f t="shared" si="11"/>
        <v>0</v>
      </c>
    </row>
    <row r="153" spans="2:7">
      <c r="B153">
        <v>120</v>
      </c>
      <c r="C153">
        <f t="shared" si="8"/>
        <v>120</v>
      </c>
      <c r="D153">
        <f t="shared" si="9"/>
        <v>0</v>
      </c>
      <c r="E153" s="2">
        <f t="shared" si="10"/>
        <v>100</v>
      </c>
      <c r="F153" t="str">
        <f>VLOOKUP(E153,Readme!$A$31:$C$131,2)</f>
        <v>Unharmed / Fresh</v>
      </c>
      <c r="G153">
        <f t="shared" si="11"/>
        <v>0</v>
      </c>
    </row>
    <row r="154" spans="2:7">
      <c r="B154">
        <v>120</v>
      </c>
      <c r="C154">
        <f t="shared" si="8"/>
        <v>120</v>
      </c>
      <c r="D154">
        <f t="shared" si="9"/>
        <v>0</v>
      </c>
      <c r="E154" s="2">
        <f t="shared" si="10"/>
        <v>100</v>
      </c>
      <c r="F154" t="str">
        <f>VLOOKUP(E154,Readme!$A$31:$C$131,2)</f>
        <v>Unharmed / Fresh</v>
      </c>
      <c r="G154">
        <f t="shared" si="11"/>
        <v>0</v>
      </c>
    </row>
    <row r="155" spans="2:7">
      <c r="B155">
        <v>120</v>
      </c>
      <c r="C155">
        <f t="shared" si="8"/>
        <v>120</v>
      </c>
      <c r="D155">
        <f t="shared" si="9"/>
        <v>0</v>
      </c>
      <c r="E155" s="2">
        <f t="shared" si="10"/>
        <v>100</v>
      </c>
      <c r="F155" t="str">
        <f>VLOOKUP(E155,Readme!$A$31:$C$131,2)</f>
        <v>Unharmed / Fresh</v>
      </c>
      <c r="G155">
        <f t="shared" si="11"/>
        <v>0</v>
      </c>
    </row>
    <row r="156" spans="2:7">
      <c r="B156">
        <v>120</v>
      </c>
      <c r="C156">
        <f t="shared" si="8"/>
        <v>120</v>
      </c>
      <c r="D156">
        <f t="shared" si="9"/>
        <v>0</v>
      </c>
      <c r="E156" s="2">
        <f t="shared" si="10"/>
        <v>100</v>
      </c>
      <c r="F156" t="str">
        <f>VLOOKUP(E156,Readme!$A$31:$C$131,2)</f>
        <v>Unharmed / Fresh</v>
      </c>
      <c r="G156">
        <f t="shared" si="11"/>
        <v>0</v>
      </c>
    </row>
    <row r="157" spans="2:7">
      <c r="B157">
        <v>120</v>
      </c>
      <c r="C157">
        <f t="shared" si="8"/>
        <v>120</v>
      </c>
      <c r="D157">
        <f t="shared" si="9"/>
        <v>0</v>
      </c>
      <c r="E157" s="2">
        <f t="shared" si="10"/>
        <v>100</v>
      </c>
      <c r="F157" t="str">
        <f>VLOOKUP(E157,Readme!$A$31:$C$131,2)</f>
        <v>Unharmed / Fresh</v>
      </c>
      <c r="G157">
        <f t="shared" si="11"/>
        <v>0</v>
      </c>
    </row>
    <row r="158" spans="2:7">
      <c r="B158">
        <v>120</v>
      </c>
      <c r="C158">
        <f t="shared" si="8"/>
        <v>120</v>
      </c>
      <c r="D158">
        <f t="shared" si="9"/>
        <v>0</v>
      </c>
      <c r="E158" s="2">
        <f t="shared" si="10"/>
        <v>100</v>
      </c>
      <c r="F158" t="str">
        <f>VLOOKUP(E158,Readme!$A$31:$C$131,2)</f>
        <v>Unharmed / Fresh</v>
      </c>
      <c r="G158">
        <f t="shared" si="11"/>
        <v>0</v>
      </c>
    </row>
    <row r="159" spans="2:7">
      <c r="B159">
        <v>120</v>
      </c>
      <c r="C159">
        <f t="shared" si="8"/>
        <v>120</v>
      </c>
      <c r="D159">
        <f t="shared" si="9"/>
        <v>0</v>
      </c>
      <c r="E159" s="2">
        <f t="shared" si="10"/>
        <v>100</v>
      </c>
      <c r="F159" t="str">
        <f>VLOOKUP(E159,Readme!$A$31:$C$131,2)</f>
        <v>Unharmed / Fresh</v>
      </c>
      <c r="G159">
        <f t="shared" si="11"/>
        <v>0</v>
      </c>
    </row>
    <row r="160" spans="2:7">
      <c r="B160">
        <v>120</v>
      </c>
      <c r="C160">
        <f t="shared" si="8"/>
        <v>120</v>
      </c>
      <c r="D160">
        <f t="shared" si="9"/>
        <v>0</v>
      </c>
      <c r="E160" s="2">
        <f t="shared" si="10"/>
        <v>100</v>
      </c>
      <c r="F160" t="str">
        <f>VLOOKUP(E160,Readme!$A$31:$C$131,2)</f>
        <v>Unharmed / Fresh</v>
      </c>
      <c r="G160">
        <f t="shared" si="11"/>
        <v>0</v>
      </c>
    </row>
    <row r="161" spans="2:7">
      <c r="B161">
        <v>120</v>
      </c>
      <c r="C161">
        <f t="shared" si="8"/>
        <v>120</v>
      </c>
      <c r="D161">
        <f t="shared" si="9"/>
        <v>0</v>
      </c>
      <c r="E161" s="2">
        <f t="shared" si="10"/>
        <v>100</v>
      </c>
      <c r="F161" t="str">
        <f>VLOOKUP(E161,Readme!$A$31:$C$131,2)</f>
        <v>Unharmed / Fresh</v>
      </c>
      <c r="G161">
        <f t="shared" si="11"/>
        <v>0</v>
      </c>
    </row>
    <row r="162" spans="2:7">
      <c r="B162">
        <v>120</v>
      </c>
      <c r="C162">
        <f t="shared" si="8"/>
        <v>120</v>
      </c>
      <c r="D162">
        <f t="shared" si="9"/>
        <v>0</v>
      </c>
      <c r="E162" s="2">
        <f t="shared" si="10"/>
        <v>100</v>
      </c>
      <c r="F162" t="str">
        <f>VLOOKUP(E162,Readme!$A$31:$C$131,2)</f>
        <v>Unharmed / Fresh</v>
      </c>
      <c r="G162">
        <f t="shared" si="11"/>
        <v>0</v>
      </c>
    </row>
    <row r="163" spans="2:7">
      <c r="B163">
        <v>120</v>
      </c>
      <c r="C163">
        <f t="shared" si="8"/>
        <v>120</v>
      </c>
      <c r="D163">
        <f t="shared" si="9"/>
        <v>0</v>
      </c>
      <c r="E163" s="2">
        <f t="shared" si="10"/>
        <v>100</v>
      </c>
      <c r="F163" t="str">
        <f>VLOOKUP(E163,Readme!$A$31:$C$131,2)</f>
        <v>Unharmed / Fresh</v>
      </c>
      <c r="G163">
        <f t="shared" si="11"/>
        <v>0</v>
      </c>
    </row>
    <row r="164" spans="2:7">
      <c r="B164">
        <v>120</v>
      </c>
      <c r="C164">
        <f t="shared" si="8"/>
        <v>120</v>
      </c>
      <c r="D164">
        <f t="shared" si="9"/>
        <v>0</v>
      </c>
      <c r="E164" s="2">
        <f t="shared" si="10"/>
        <v>100</v>
      </c>
      <c r="F164" t="str">
        <f>VLOOKUP(E164,Readme!$A$31:$C$131,2)</f>
        <v>Unharmed / Fresh</v>
      </c>
      <c r="G164">
        <f t="shared" si="11"/>
        <v>0</v>
      </c>
    </row>
    <row r="165" spans="2:7">
      <c r="B165">
        <v>120</v>
      </c>
      <c r="C165">
        <f t="shared" si="8"/>
        <v>120</v>
      </c>
      <c r="D165">
        <f t="shared" si="9"/>
        <v>0</v>
      </c>
      <c r="E165" s="2">
        <f t="shared" si="10"/>
        <v>100</v>
      </c>
      <c r="F165" t="str">
        <f>VLOOKUP(E165,Readme!$A$31:$C$131,2)</f>
        <v>Unharmed / Fresh</v>
      </c>
      <c r="G165">
        <f t="shared" si="11"/>
        <v>0</v>
      </c>
    </row>
    <row r="166" spans="2:7">
      <c r="B166">
        <v>120</v>
      </c>
      <c r="C166">
        <f t="shared" si="8"/>
        <v>120</v>
      </c>
      <c r="D166">
        <f t="shared" si="9"/>
        <v>0</v>
      </c>
      <c r="E166" s="2">
        <f t="shared" si="10"/>
        <v>100</v>
      </c>
      <c r="F166" t="str">
        <f>VLOOKUP(E166,Readme!$A$31:$C$131,2)</f>
        <v>Unharmed / Fresh</v>
      </c>
      <c r="G166">
        <f t="shared" si="11"/>
        <v>0</v>
      </c>
    </row>
    <row r="167" spans="2:7">
      <c r="B167">
        <v>120</v>
      </c>
      <c r="C167">
        <f t="shared" si="8"/>
        <v>120</v>
      </c>
      <c r="D167">
        <f t="shared" si="9"/>
        <v>0</v>
      </c>
      <c r="E167" s="2">
        <f t="shared" si="10"/>
        <v>100</v>
      </c>
      <c r="F167" t="str">
        <f>VLOOKUP(E167,Readme!$A$31:$C$131,2)</f>
        <v>Unharmed / Fresh</v>
      </c>
      <c r="G167">
        <f t="shared" si="11"/>
        <v>0</v>
      </c>
    </row>
    <row r="168" spans="2:7">
      <c r="B168">
        <v>120</v>
      </c>
      <c r="C168">
        <f t="shared" si="8"/>
        <v>120</v>
      </c>
      <c r="D168">
        <f t="shared" si="9"/>
        <v>0</v>
      </c>
      <c r="E168" s="2">
        <f t="shared" si="10"/>
        <v>100</v>
      </c>
      <c r="F168" t="str">
        <f>VLOOKUP(E168,Readme!$A$31:$C$131,2)</f>
        <v>Unharmed / Fresh</v>
      </c>
      <c r="G168">
        <f t="shared" si="11"/>
        <v>0</v>
      </c>
    </row>
    <row r="169" spans="2:7">
      <c r="B169">
        <v>120</v>
      </c>
      <c r="C169">
        <f t="shared" si="8"/>
        <v>120</v>
      </c>
      <c r="D169">
        <f t="shared" si="9"/>
        <v>0</v>
      </c>
      <c r="E169" s="2">
        <f t="shared" si="10"/>
        <v>100</v>
      </c>
      <c r="F169" t="str">
        <f>VLOOKUP(E169,Readme!$A$31:$C$131,2)</f>
        <v>Unharmed / Fresh</v>
      </c>
      <c r="G169">
        <f t="shared" si="11"/>
        <v>0</v>
      </c>
    </row>
    <row r="170" spans="2:7">
      <c r="B170">
        <v>120</v>
      </c>
      <c r="C170">
        <f t="shared" si="8"/>
        <v>120</v>
      </c>
      <c r="D170">
        <f t="shared" si="9"/>
        <v>0</v>
      </c>
      <c r="E170" s="2">
        <f t="shared" si="10"/>
        <v>100</v>
      </c>
      <c r="F170" t="str">
        <f>VLOOKUP(E170,Readme!$A$31:$C$131,2)</f>
        <v>Unharmed / Fresh</v>
      </c>
      <c r="G170">
        <f t="shared" si="11"/>
        <v>0</v>
      </c>
    </row>
    <row r="171" spans="2:7">
      <c r="B171">
        <v>120</v>
      </c>
      <c r="C171">
        <f t="shared" si="8"/>
        <v>120</v>
      </c>
      <c r="D171">
        <f t="shared" si="9"/>
        <v>0</v>
      </c>
      <c r="E171" s="2">
        <f t="shared" si="10"/>
        <v>100</v>
      </c>
      <c r="F171" t="str">
        <f>VLOOKUP(E171,Readme!$A$31:$C$131,2)</f>
        <v>Unharmed / Fresh</v>
      </c>
      <c r="G171">
        <f t="shared" si="11"/>
        <v>0</v>
      </c>
    </row>
    <row r="172" spans="2:7">
      <c r="B172">
        <v>120</v>
      </c>
      <c r="C172">
        <f t="shared" si="8"/>
        <v>120</v>
      </c>
      <c r="D172">
        <f t="shared" si="9"/>
        <v>0</v>
      </c>
      <c r="E172" s="2">
        <f t="shared" si="10"/>
        <v>100</v>
      </c>
      <c r="F172" t="str">
        <f>VLOOKUP(E172,Readme!$A$31:$C$131,2)</f>
        <v>Unharmed / Fresh</v>
      </c>
      <c r="G172">
        <f t="shared" si="11"/>
        <v>0</v>
      </c>
    </row>
    <row r="173" spans="2:7">
      <c r="B173">
        <v>120</v>
      </c>
      <c r="C173">
        <f t="shared" si="8"/>
        <v>120</v>
      </c>
      <c r="D173">
        <f t="shared" si="9"/>
        <v>0</v>
      </c>
      <c r="E173" s="2">
        <f t="shared" si="10"/>
        <v>100</v>
      </c>
      <c r="F173" t="str">
        <f>VLOOKUP(E173,Readme!$A$31:$C$131,2)</f>
        <v>Unharmed / Fresh</v>
      </c>
      <c r="G173">
        <f t="shared" si="11"/>
        <v>0</v>
      </c>
    </row>
    <row r="174" spans="2:7">
      <c r="B174">
        <v>120</v>
      </c>
      <c r="C174">
        <f t="shared" si="8"/>
        <v>120</v>
      </c>
      <c r="D174">
        <f t="shared" si="9"/>
        <v>0</v>
      </c>
      <c r="E174" s="2">
        <f t="shared" si="10"/>
        <v>100</v>
      </c>
      <c r="F174" t="str">
        <f>VLOOKUP(E174,Readme!$A$31:$C$131,2)</f>
        <v>Unharmed / Fresh</v>
      </c>
      <c r="G174">
        <f t="shared" si="11"/>
        <v>0</v>
      </c>
    </row>
    <row r="175" spans="2:7">
      <c r="B175">
        <v>120</v>
      </c>
      <c r="C175">
        <f t="shared" si="8"/>
        <v>120</v>
      </c>
      <c r="D175">
        <f t="shared" si="9"/>
        <v>0</v>
      </c>
      <c r="E175" s="2">
        <f t="shared" si="10"/>
        <v>100</v>
      </c>
      <c r="F175" t="str">
        <f>VLOOKUP(E175,Readme!$A$31:$C$131,2)</f>
        <v>Unharmed / Fresh</v>
      </c>
      <c r="G175">
        <f t="shared" si="11"/>
        <v>0</v>
      </c>
    </row>
    <row r="176" spans="2:7">
      <c r="B176">
        <v>120</v>
      </c>
      <c r="C176">
        <f t="shared" si="8"/>
        <v>120</v>
      </c>
      <c r="D176">
        <f t="shared" si="9"/>
        <v>0</v>
      </c>
      <c r="E176" s="2">
        <f t="shared" si="10"/>
        <v>100</v>
      </c>
      <c r="F176" t="str">
        <f>VLOOKUP(E176,Readme!$A$31:$C$131,2)</f>
        <v>Unharmed / Fresh</v>
      </c>
      <c r="G176">
        <f t="shared" si="11"/>
        <v>0</v>
      </c>
    </row>
    <row r="177" spans="2:7">
      <c r="B177">
        <v>120</v>
      </c>
      <c r="C177">
        <f t="shared" si="8"/>
        <v>120</v>
      </c>
      <c r="D177">
        <f t="shared" si="9"/>
        <v>0</v>
      </c>
      <c r="E177" s="2">
        <f t="shared" si="10"/>
        <v>100</v>
      </c>
      <c r="F177" t="str">
        <f>VLOOKUP(E177,Readme!$A$31:$C$131,2)</f>
        <v>Unharmed / Fresh</v>
      </c>
      <c r="G177">
        <f t="shared" si="11"/>
        <v>0</v>
      </c>
    </row>
    <row r="178" spans="2:7">
      <c r="B178">
        <v>120</v>
      </c>
      <c r="C178">
        <f t="shared" si="8"/>
        <v>120</v>
      </c>
      <c r="D178">
        <f t="shared" si="9"/>
        <v>0</v>
      </c>
      <c r="E178" s="2">
        <f t="shared" si="10"/>
        <v>100</v>
      </c>
      <c r="F178" t="str">
        <f>VLOOKUP(E178,Readme!$A$31:$C$131,2)</f>
        <v>Unharmed / Fresh</v>
      </c>
      <c r="G178">
        <f t="shared" si="11"/>
        <v>0</v>
      </c>
    </row>
    <row r="179" spans="2:7">
      <c r="B179">
        <v>120</v>
      </c>
      <c r="C179">
        <f t="shared" si="8"/>
        <v>120</v>
      </c>
      <c r="D179">
        <f t="shared" si="9"/>
        <v>0</v>
      </c>
      <c r="E179" s="2">
        <f t="shared" si="10"/>
        <v>100</v>
      </c>
      <c r="F179" t="str">
        <f>VLOOKUP(E179,Readme!$A$31:$C$131,2)</f>
        <v>Unharmed / Fresh</v>
      </c>
      <c r="G179">
        <f t="shared" si="11"/>
        <v>0</v>
      </c>
    </row>
    <row r="180" spans="2:7">
      <c r="B180">
        <v>120</v>
      </c>
      <c r="C180">
        <f t="shared" si="8"/>
        <v>120</v>
      </c>
      <c r="D180">
        <f t="shared" si="9"/>
        <v>0</v>
      </c>
      <c r="E180" s="2">
        <f t="shared" si="10"/>
        <v>100</v>
      </c>
      <c r="F180" t="str">
        <f>VLOOKUP(E180,Readme!$A$31:$C$131,2)</f>
        <v>Unharmed / Fresh</v>
      </c>
      <c r="G180">
        <f t="shared" si="11"/>
        <v>0</v>
      </c>
    </row>
    <row r="181" spans="2:7">
      <c r="B181">
        <v>120</v>
      </c>
      <c r="C181">
        <f t="shared" si="8"/>
        <v>120</v>
      </c>
      <c r="D181">
        <f t="shared" si="9"/>
        <v>0</v>
      </c>
      <c r="E181" s="2">
        <f t="shared" si="10"/>
        <v>100</v>
      </c>
      <c r="F181" t="str">
        <f>VLOOKUP(E181,Readme!$A$31:$C$131,2)</f>
        <v>Unharmed / Fresh</v>
      </c>
      <c r="G181">
        <f t="shared" si="11"/>
        <v>0</v>
      </c>
    </row>
    <row r="182" spans="2:7">
      <c r="B182">
        <v>120</v>
      </c>
      <c r="C182">
        <f t="shared" si="8"/>
        <v>120</v>
      </c>
      <c r="D182">
        <f t="shared" si="9"/>
        <v>0</v>
      </c>
      <c r="E182" s="2">
        <f t="shared" si="10"/>
        <v>100</v>
      </c>
      <c r="F182" t="str">
        <f>VLOOKUP(E182,Readme!$A$31:$C$131,2)</f>
        <v>Unharmed / Fresh</v>
      </c>
      <c r="G182">
        <f t="shared" si="11"/>
        <v>0</v>
      </c>
    </row>
    <row r="183" spans="2:7">
      <c r="B183">
        <v>120</v>
      </c>
      <c r="C183">
        <f t="shared" si="8"/>
        <v>120</v>
      </c>
      <c r="D183">
        <f t="shared" si="9"/>
        <v>0</v>
      </c>
      <c r="E183" s="2">
        <f t="shared" si="10"/>
        <v>100</v>
      </c>
      <c r="F183" t="str">
        <f>VLOOKUP(E183,Readme!$A$31:$C$131,2)</f>
        <v>Unharmed / Fresh</v>
      </c>
      <c r="G183">
        <f t="shared" si="11"/>
        <v>0</v>
      </c>
    </row>
    <row r="184" spans="2:7">
      <c r="B184">
        <v>120</v>
      </c>
      <c r="C184">
        <f t="shared" si="8"/>
        <v>120</v>
      </c>
      <c r="D184">
        <f t="shared" si="9"/>
        <v>0</v>
      </c>
      <c r="E184" s="2">
        <f t="shared" si="10"/>
        <v>100</v>
      </c>
      <c r="F184" t="str">
        <f>VLOOKUP(E184,Readme!$A$31:$C$131,2)</f>
        <v>Unharmed / Fresh</v>
      </c>
      <c r="G184">
        <f t="shared" si="11"/>
        <v>0</v>
      </c>
    </row>
    <row r="185" spans="2:7">
      <c r="B185">
        <v>120</v>
      </c>
      <c r="C185">
        <f t="shared" si="8"/>
        <v>120</v>
      </c>
      <c r="D185">
        <f t="shared" si="9"/>
        <v>0</v>
      </c>
      <c r="E185" s="2">
        <f t="shared" si="10"/>
        <v>100</v>
      </c>
      <c r="F185" t="str">
        <f>VLOOKUP(E185,Readme!$A$31:$C$131,2)</f>
        <v>Unharmed / Fresh</v>
      </c>
      <c r="G185">
        <f t="shared" si="11"/>
        <v>0</v>
      </c>
    </row>
    <row r="186" spans="2:7">
      <c r="B186">
        <v>120</v>
      </c>
      <c r="C186">
        <f t="shared" si="8"/>
        <v>120</v>
      </c>
      <c r="D186">
        <f t="shared" si="9"/>
        <v>0</v>
      </c>
      <c r="E186" s="2">
        <f t="shared" si="10"/>
        <v>100</v>
      </c>
      <c r="F186" t="str">
        <f>VLOOKUP(E186,Readme!$A$31:$C$131,2)</f>
        <v>Unharmed / Fresh</v>
      </c>
      <c r="G186">
        <f t="shared" si="11"/>
        <v>0</v>
      </c>
    </row>
    <row r="187" spans="2:7">
      <c r="B187">
        <v>120</v>
      </c>
      <c r="C187">
        <f t="shared" si="8"/>
        <v>120</v>
      </c>
      <c r="D187">
        <f t="shared" si="9"/>
        <v>0</v>
      </c>
      <c r="E187" s="2">
        <f t="shared" si="10"/>
        <v>100</v>
      </c>
      <c r="F187" t="str">
        <f>VLOOKUP(E187,Readme!$A$31:$C$131,2)</f>
        <v>Unharmed / Fresh</v>
      </c>
      <c r="G187">
        <f t="shared" si="11"/>
        <v>0</v>
      </c>
    </row>
    <row r="188" spans="2:7">
      <c r="B188">
        <v>120</v>
      </c>
      <c r="C188">
        <f t="shared" si="8"/>
        <v>120</v>
      </c>
      <c r="D188">
        <f t="shared" si="9"/>
        <v>0</v>
      </c>
      <c r="E188" s="2">
        <f t="shared" si="10"/>
        <v>100</v>
      </c>
      <c r="F188" t="str">
        <f>VLOOKUP(E188,Readme!$A$31:$C$131,2)</f>
        <v>Unharmed / Fresh</v>
      </c>
      <c r="G188">
        <f t="shared" si="11"/>
        <v>0</v>
      </c>
    </row>
    <row r="189" spans="2:7">
      <c r="B189">
        <v>120</v>
      </c>
      <c r="C189">
        <f t="shared" si="8"/>
        <v>120</v>
      </c>
      <c r="D189">
        <f t="shared" si="9"/>
        <v>0</v>
      </c>
      <c r="E189" s="2">
        <f t="shared" si="10"/>
        <v>100</v>
      </c>
      <c r="F189" t="str">
        <f>VLOOKUP(E189,Readme!$A$31:$C$131,2)</f>
        <v>Unharmed / Fresh</v>
      </c>
      <c r="G189">
        <f t="shared" si="11"/>
        <v>0</v>
      </c>
    </row>
    <row r="190" spans="2:7">
      <c r="B190">
        <v>120</v>
      </c>
      <c r="C190">
        <f t="shared" si="8"/>
        <v>120</v>
      </c>
      <c r="D190">
        <f t="shared" si="9"/>
        <v>0</v>
      </c>
      <c r="E190" s="2">
        <f t="shared" si="10"/>
        <v>100</v>
      </c>
      <c r="F190" t="str">
        <f>VLOOKUP(E190,Readme!$A$31:$C$131,2)</f>
        <v>Unharmed / Fresh</v>
      </c>
      <c r="G190">
        <f t="shared" si="11"/>
        <v>0</v>
      </c>
    </row>
    <row r="191" spans="2:7">
      <c r="B191">
        <v>120</v>
      </c>
      <c r="C191">
        <f t="shared" si="8"/>
        <v>120</v>
      </c>
      <c r="D191">
        <f t="shared" si="9"/>
        <v>0</v>
      </c>
      <c r="E191" s="2">
        <f t="shared" si="10"/>
        <v>100</v>
      </c>
      <c r="F191" t="str">
        <f>VLOOKUP(E191,Readme!$A$31:$C$131,2)</f>
        <v>Unharmed / Fresh</v>
      </c>
      <c r="G191">
        <f t="shared" si="11"/>
        <v>0</v>
      </c>
    </row>
    <row r="192" spans="2:7">
      <c r="B192">
        <v>120</v>
      </c>
      <c r="C192">
        <f t="shared" si="8"/>
        <v>120</v>
      </c>
      <c r="D192">
        <f t="shared" si="9"/>
        <v>0</v>
      </c>
      <c r="E192" s="2">
        <f t="shared" si="10"/>
        <v>100</v>
      </c>
      <c r="F192" t="str">
        <f>VLOOKUP(E192,Readme!$A$31:$C$131,2)</f>
        <v>Unharmed / Fresh</v>
      </c>
      <c r="G192">
        <f t="shared" si="11"/>
        <v>0</v>
      </c>
    </row>
    <row r="193" spans="2:7">
      <c r="B193">
        <v>120</v>
      </c>
      <c r="C193">
        <f t="shared" si="8"/>
        <v>120</v>
      </c>
      <c r="D193">
        <f t="shared" si="9"/>
        <v>0</v>
      </c>
      <c r="E193" s="2">
        <f t="shared" si="10"/>
        <v>100</v>
      </c>
      <c r="F193" t="str">
        <f>VLOOKUP(E193,Readme!$A$31:$C$131,2)</f>
        <v>Unharmed / Fresh</v>
      </c>
      <c r="G193">
        <f t="shared" si="11"/>
        <v>0</v>
      </c>
    </row>
    <row r="194" spans="2:7">
      <c r="B194">
        <v>120</v>
      </c>
      <c r="C194">
        <f t="shared" si="8"/>
        <v>120</v>
      </c>
      <c r="D194">
        <f t="shared" si="9"/>
        <v>0</v>
      </c>
      <c r="E194" s="2">
        <f t="shared" si="10"/>
        <v>100</v>
      </c>
      <c r="F194" t="str">
        <f>VLOOKUP(E194,Readme!$A$31:$C$131,2)</f>
        <v>Unharmed / Fresh</v>
      </c>
      <c r="G194">
        <f t="shared" si="11"/>
        <v>0</v>
      </c>
    </row>
    <row r="195" spans="2:7">
      <c r="B195">
        <v>120</v>
      </c>
      <c r="C195">
        <f t="shared" ref="C195:C258" si="12">B195-G195</f>
        <v>120</v>
      </c>
      <c r="D195">
        <f t="shared" ref="D195:D258" si="13">B195-C195</f>
        <v>0</v>
      </c>
      <c r="E195" s="2">
        <f t="shared" ref="E195:E258" si="14">(C195/B195)*100</f>
        <v>100</v>
      </c>
      <c r="F195" t="str">
        <f>VLOOKUP(E195,Readme!$A$31:$C$131,2)</f>
        <v>Unharmed / Fresh</v>
      </c>
      <c r="G195">
        <f t="shared" ref="G195:G258" si="15">SUM(H195:FY195)</f>
        <v>0</v>
      </c>
    </row>
    <row r="196" spans="2:7">
      <c r="B196">
        <v>120</v>
      </c>
      <c r="C196">
        <f t="shared" si="12"/>
        <v>120</v>
      </c>
      <c r="D196">
        <f t="shared" si="13"/>
        <v>0</v>
      </c>
      <c r="E196" s="2">
        <f t="shared" si="14"/>
        <v>100</v>
      </c>
      <c r="F196" t="str">
        <f>VLOOKUP(E196,Readme!$A$31:$C$131,2)</f>
        <v>Unharmed / Fresh</v>
      </c>
      <c r="G196">
        <f t="shared" si="15"/>
        <v>0</v>
      </c>
    </row>
    <row r="197" spans="2:7">
      <c r="B197">
        <v>120</v>
      </c>
      <c r="C197">
        <f t="shared" si="12"/>
        <v>120</v>
      </c>
      <c r="D197">
        <f t="shared" si="13"/>
        <v>0</v>
      </c>
      <c r="E197" s="2">
        <f t="shared" si="14"/>
        <v>100</v>
      </c>
      <c r="F197" t="str">
        <f>VLOOKUP(E197,Readme!$A$31:$C$131,2)</f>
        <v>Unharmed / Fresh</v>
      </c>
      <c r="G197">
        <f t="shared" si="15"/>
        <v>0</v>
      </c>
    </row>
    <row r="198" spans="2:7">
      <c r="B198">
        <v>120</v>
      </c>
      <c r="C198">
        <f t="shared" si="12"/>
        <v>120</v>
      </c>
      <c r="D198">
        <f t="shared" si="13"/>
        <v>0</v>
      </c>
      <c r="E198" s="2">
        <f t="shared" si="14"/>
        <v>100</v>
      </c>
      <c r="F198" t="str">
        <f>VLOOKUP(E198,Readme!$A$31:$C$131,2)</f>
        <v>Unharmed / Fresh</v>
      </c>
      <c r="G198">
        <f t="shared" si="15"/>
        <v>0</v>
      </c>
    </row>
    <row r="199" spans="2:7">
      <c r="B199">
        <v>120</v>
      </c>
      <c r="C199">
        <f t="shared" si="12"/>
        <v>120</v>
      </c>
      <c r="D199">
        <f t="shared" si="13"/>
        <v>0</v>
      </c>
      <c r="E199" s="2">
        <f t="shared" si="14"/>
        <v>100</v>
      </c>
      <c r="F199" t="str">
        <f>VLOOKUP(E199,Readme!$A$31:$C$131,2)</f>
        <v>Unharmed / Fresh</v>
      </c>
      <c r="G199">
        <f t="shared" si="15"/>
        <v>0</v>
      </c>
    </row>
    <row r="200" spans="2:7">
      <c r="B200">
        <v>120</v>
      </c>
      <c r="C200">
        <f t="shared" si="12"/>
        <v>120</v>
      </c>
      <c r="D200">
        <f t="shared" si="13"/>
        <v>0</v>
      </c>
      <c r="E200" s="2">
        <f t="shared" si="14"/>
        <v>100</v>
      </c>
      <c r="F200" t="str">
        <f>VLOOKUP(E200,Readme!$A$31:$C$131,2)</f>
        <v>Unharmed / Fresh</v>
      </c>
      <c r="G200">
        <f t="shared" si="15"/>
        <v>0</v>
      </c>
    </row>
    <row r="201" spans="2:7">
      <c r="B201">
        <v>120</v>
      </c>
      <c r="C201">
        <f t="shared" si="12"/>
        <v>120</v>
      </c>
      <c r="D201">
        <f t="shared" si="13"/>
        <v>0</v>
      </c>
      <c r="E201" s="2">
        <f t="shared" si="14"/>
        <v>100</v>
      </c>
      <c r="F201" t="str">
        <f>VLOOKUP(E201,Readme!$A$31:$C$131,2)</f>
        <v>Unharmed / Fresh</v>
      </c>
      <c r="G201">
        <f t="shared" si="15"/>
        <v>0</v>
      </c>
    </row>
    <row r="202" spans="2:7">
      <c r="B202">
        <v>120</v>
      </c>
      <c r="C202">
        <f t="shared" si="12"/>
        <v>120</v>
      </c>
      <c r="D202">
        <f t="shared" si="13"/>
        <v>0</v>
      </c>
      <c r="E202" s="2">
        <f t="shared" si="14"/>
        <v>100</v>
      </c>
      <c r="F202" t="str">
        <f>VLOOKUP(E202,Readme!$A$31:$C$131,2)</f>
        <v>Unharmed / Fresh</v>
      </c>
      <c r="G202">
        <f t="shared" si="15"/>
        <v>0</v>
      </c>
    </row>
    <row r="203" spans="2:7">
      <c r="B203">
        <v>120</v>
      </c>
      <c r="C203">
        <f t="shared" si="12"/>
        <v>120</v>
      </c>
      <c r="D203">
        <f t="shared" si="13"/>
        <v>0</v>
      </c>
      <c r="E203" s="2">
        <f t="shared" si="14"/>
        <v>100</v>
      </c>
      <c r="F203" t="str">
        <f>VLOOKUP(E203,Readme!$A$31:$C$131,2)</f>
        <v>Unharmed / Fresh</v>
      </c>
      <c r="G203">
        <f t="shared" si="15"/>
        <v>0</v>
      </c>
    </row>
    <row r="204" spans="2:7">
      <c r="B204">
        <v>120</v>
      </c>
      <c r="C204">
        <f t="shared" si="12"/>
        <v>120</v>
      </c>
      <c r="D204">
        <f t="shared" si="13"/>
        <v>0</v>
      </c>
      <c r="E204" s="2">
        <f t="shared" si="14"/>
        <v>100</v>
      </c>
      <c r="F204" t="str">
        <f>VLOOKUP(E204,Readme!$A$31:$C$131,2)</f>
        <v>Unharmed / Fresh</v>
      </c>
      <c r="G204">
        <f t="shared" si="15"/>
        <v>0</v>
      </c>
    </row>
    <row r="205" spans="2:7">
      <c r="B205">
        <v>120</v>
      </c>
      <c r="C205">
        <f t="shared" si="12"/>
        <v>120</v>
      </c>
      <c r="D205">
        <f t="shared" si="13"/>
        <v>0</v>
      </c>
      <c r="E205" s="2">
        <f t="shared" si="14"/>
        <v>100</v>
      </c>
      <c r="F205" t="str">
        <f>VLOOKUP(E205,Readme!$A$31:$C$131,2)</f>
        <v>Unharmed / Fresh</v>
      </c>
      <c r="G205">
        <f t="shared" si="15"/>
        <v>0</v>
      </c>
    </row>
    <row r="206" spans="2:7">
      <c r="B206">
        <v>120</v>
      </c>
      <c r="C206">
        <f t="shared" si="12"/>
        <v>120</v>
      </c>
      <c r="D206">
        <f t="shared" si="13"/>
        <v>0</v>
      </c>
      <c r="E206" s="2">
        <f t="shared" si="14"/>
        <v>100</v>
      </c>
      <c r="F206" t="str">
        <f>VLOOKUP(E206,Readme!$A$31:$C$131,2)</f>
        <v>Unharmed / Fresh</v>
      </c>
      <c r="G206">
        <f t="shared" si="15"/>
        <v>0</v>
      </c>
    </row>
    <row r="207" spans="2:7">
      <c r="B207">
        <v>120</v>
      </c>
      <c r="C207">
        <f t="shared" si="12"/>
        <v>120</v>
      </c>
      <c r="D207">
        <f t="shared" si="13"/>
        <v>0</v>
      </c>
      <c r="E207" s="2">
        <f t="shared" si="14"/>
        <v>100</v>
      </c>
      <c r="F207" t="str">
        <f>VLOOKUP(E207,Readme!$A$31:$C$131,2)</f>
        <v>Unharmed / Fresh</v>
      </c>
      <c r="G207">
        <f t="shared" si="15"/>
        <v>0</v>
      </c>
    </row>
    <row r="208" spans="2:7">
      <c r="B208">
        <v>120</v>
      </c>
      <c r="C208">
        <f t="shared" si="12"/>
        <v>120</v>
      </c>
      <c r="D208">
        <f t="shared" si="13"/>
        <v>0</v>
      </c>
      <c r="E208" s="2">
        <f t="shared" si="14"/>
        <v>100</v>
      </c>
      <c r="F208" t="str">
        <f>VLOOKUP(E208,Readme!$A$31:$C$131,2)</f>
        <v>Unharmed / Fresh</v>
      </c>
      <c r="G208">
        <f t="shared" si="15"/>
        <v>0</v>
      </c>
    </row>
    <row r="209" spans="2:7">
      <c r="B209">
        <v>120</v>
      </c>
      <c r="C209">
        <f t="shared" si="12"/>
        <v>120</v>
      </c>
      <c r="D209">
        <f t="shared" si="13"/>
        <v>0</v>
      </c>
      <c r="E209" s="2">
        <f t="shared" si="14"/>
        <v>100</v>
      </c>
      <c r="F209" t="str">
        <f>VLOOKUP(E209,Readme!$A$31:$C$131,2)</f>
        <v>Unharmed / Fresh</v>
      </c>
      <c r="G209">
        <f t="shared" si="15"/>
        <v>0</v>
      </c>
    </row>
    <row r="210" spans="2:7">
      <c r="B210">
        <v>120</v>
      </c>
      <c r="C210">
        <f t="shared" si="12"/>
        <v>120</v>
      </c>
      <c r="D210">
        <f t="shared" si="13"/>
        <v>0</v>
      </c>
      <c r="E210" s="2">
        <f t="shared" si="14"/>
        <v>100</v>
      </c>
      <c r="F210" t="str">
        <f>VLOOKUP(E210,Readme!$A$31:$C$131,2)</f>
        <v>Unharmed / Fresh</v>
      </c>
      <c r="G210">
        <f t="shared" si="15"/>
        <v>0</v>
      </c>
    </row>
    <row r="211" spans="2:7">
      <c r="B211">
        <v>120</v>
      </c>
      <c r="C211">
        <f t="shared" si="12"/>
        <v>120</v>
      </c>
      <c r="D211">
        <f t="shared" si="13"/>
        <v>0</v>
      </c>
      <c r="E211" s="2">
        <f t="shared" si="14"/>
        <v>100</v>
      </c>
      <c r="F211" t="str">
        <f>VLOOKUP(E211,Readme!$A$31:$C$131,2)</f>
        <v>Unharmed / Fresh</v>
      </c>
      <c r="G211">
        <f t="shared" si="15"/>
        <v>0</v>
      </c>
    </row>
    <row r="212" spans="2:7">
      <c r="B212">
        <v>120</v>
      </c>
      <c r="C212">
        <f t="shared" si="12"/>
        <v>120</v>
      </c>
      <c r="D212">
        <f t="shared" si="13"/>
        <v>0</v>
      </c>
      <c r="E212" s="2">
        <f t="shared" si="14"/>
        <v>100</v>
      </c>
      <c r="F212" t="str">
        <f>VLOOKUP(E212,Readme!$A$31:$C$131,2)</f>
        <v>Unharmed / Fresh</v>
      </c>
      <c r="G212">
        <f t="shared" si="15"/>
        <v>0</v>
      </c>
    </row>
    <row r="213" spans="2:7">
      <c r="B213">
        <v>120</v>
      </c>
      <c r="C213">
        <f t="shared" si="12"/>
        <v>120</v>
      </c>
      <c r="D213">
        <f t="shared" si="13"/>
        <v>0</v>
      </c>
      <c r="E213" s="2">
        <f t="shared" si="14"/>
        <v>100</v>
      </c>
      <c r="F213" t="str">
        <f>VLOOKUP(E213,Readme!$A$31:$C$131,2)</f>
        <v>Unharmed / Fresh</v>
      </c>
      <c r="G213">
        <f t="shared" si="15"/>
        <v>0</v>
      </c>
    </row>
    <row r="214" spans="2:7">
      <c r="B214">
        <v>120</v>
      </c>
      <c r="C214">
        <f t="shared" si="12"/>
        <v>120</v>
      </c>
      <c r="D214">
        <f t="shared" si="13"/>
        <v>0</v>
      </c>
      <c r="E214" s="2">
        <f t="shared" si="14"/>
        <v>100</v>
      </c>
      <c r="F214" t="str">
        <f>VLOOKUP(E214,Readme!$A$31:$C$131,2)</f>
        <v>Unharmed / Fresh</v>
      </c>
      <c r="G214">
        <f t="shared" si="15"/>
        <v>0</v>
      </c>
    </row>
    <row r="215" spans="2:7">
      <c r="B215">
        <v>120</v>
      </c>
      <c r="C215">
        <f t="shared" si="12"/>
        <v>120</v>
      </c>
      <c r="D215">
        <f t="shared" si="13"/>
        <v>0</v>
      </c>
      <c r="E215" s="2">
        <f t="shared" si="14"/>
        <v>100</v>
      </c>
      <c r="F215" t="str">
        <f>VLOOKUP(E215,Readme!$A$31:$C$131,2)</f>
        <v>Unharmed / Fresh</v>
      </c>
      <c r="G215">
        <f t="shared" si="15"/>
        <v>0</v>
      </c>
    </row>
    <row r="216" spans="2:7">
      <c r="B216">
        <v>120</v>
      </c>
      <c r="C216">
        <f t="shared" si="12"/>
        <v>120</v>
      </c>
      <c r="D216">
        <f t="shared" si="13"/>
        <v>0</v>
      </c>
      <c r="E216" s="2">
        <f t="shared" si="14"/>
        <v>100</v>
      </c>
      <c r="F216" t="str">
        <f>VLOOKUP(E216,Readme!$A$31:$C$131,2)</f>
        <v>Unharmed / Fresh</v>
      </c>
      <c r="G216">
        <f t="shared" si="15"/>
        <v>0</v>
      </c>
    </row>
    <row r="217" spans="2:7">
      <c r="B217">
        <v>120</v>
      </c>
      <c r="C217">
        <f t="shared" si="12"/>
        <v>120</v>
      </c>
      <c r="D217">
        <f t="shared" si="13"/>
        <v>0</v>
      </c>
      <c r="E217" s="2">
        <f t="shared" si="14"/>
        <v>100</v>
      </c>
      <c r="F217" t="str">
        <f>VLOOKUP(E217,Readme!$A$31:$C$131,2)</f>
        <v>Unharmed / Fresh</v>
      </c>
      <c r="G217">
        <f t="shared" si="15"/>
        <v>0</v>
      </c>
    </row>
    <row r="218" spans="2:7">
      <c r="B218">
        <v>120</v>
      </c>
      <c r="C218">
        <f t="shared" si="12"/>
        <v>120</v>
      </c>
      <c r="D218">
        <f t="shared" si="13"/>
        <v>0</v>
      </c>
      <c r="E218" s="2">
        <f t="shared" si="14"/>
        <v>100</v>
      </c>
      <c r="F218" t="str">
        <f>VLOOKUP(E218,Readme!$A$31:$C$131,2)</f>
        <v>Unharmed / Fresh</v>
      </c>
      <c r="G218">
        <f t="shared" si="15"/>
        <v>0</v>
      </c>
    </row>
    <row r="219" spans="2:7">
      <c r="B219">
        <v>120</v>
      </c>
      <c r="C219">
        <f t="shared" si="12"/>
        <v>120</v>
      </c>
      <c r="D219">
        <f t="shared" si="13"/>
        <v>0</v>
      </c>
      <c r="E219" s="2">
        <f t="shared" si="14"/>
        <v>100</v>
      </c>
      <c r="F219" t="str">
        <f>VLOOKUP(E219,Readme!$A$31:$C$131,2)</f>
        <v>Unharmed / Fresh</v>
      </c>
      <c r="G219">
        <f t="shared" si="15"/>
        <v>0</v>
      </c>
    </row>
    <row r="220" spans="2:7">
      <c r="B220">
        <v>120</v>
      </c>
      <c r="C220">
        <f t="shared" si="12"/>
        <v>120</v>
      </c>
      <c r="D220">
        <f t="shared" si="13"/>
        <v>0</v>
      </c>
      <c r="E220" s="2">
        <f t="shared" si="14"/>
        <v>100</v>
      </c>
      <c r="F220" t="str">
        <f>VLOOKUP(E220,Readme!$A$31:$C$131,2)</f>
        <v>Unharmed / Fresh</v>
      </c>
      <c r="G220">
        <f t="shared" si="15"/>
        <v>0</v>
      </c>
    </row>
    <row r="221" spans="2:7">
      <c r="B221">
        <v>120</v>
      </c>
      <c r="C221">
        <f t="shared" si="12"/>
        <v>120</v>
      </c>
      <c r="D221">
        <f t="shared" si="13"/>
        <v>0</v>
      </c>
      <c r="E221" s="2">
        <f t="shared" si="14"/>
        <v>100</v>
      </c>
      <c r="F221" t="str">
        <f>VLOOKUP(E221,Readme!$A$31:$C$131,2)</f>
        <v>Unharmed / Fresh</v>
      </c>
      <c r="G221">
        <f t="shared" si="15"/>
        <v>0</v>
      </c>
    </row>
    <row r="222" spans="2:7">
      <c r="B222">
        <v>120</v>
      </c>
      <c r="C222">
        <f t="shared" si="12"/>
        <v>120</v>
      </c>
      <c r="D222">
        <f t="shared" si="13"/>
        <v>0</v>
      </c>
      <c r="E222" s="2">
        <f t="shared" si="14"/>
        <v>100</v>
      </c>
      <c r="F222" t="str">
        <f>VLOOKUP(E222,Readme!$A$31:$C$131,2)</f>
        <v>Unharmed / Fresh</v>
      </c>
      <c r="G222">
        <f t="shared" si="15"/>
        <v>0</v>
      </c>
    </row>
    <row r="223" spans="2:7">
      <c r="B223">
        <v>120</v>
      </c>
      <c r="C223">
        <f t="shared" si="12"/>
        <v>120</v>
      </c>
      <c r="D223">
        <f t="shared" si="13"/>
        <v>0</v>
      </c>
      <c r="E223" s="2">
        <f t="shared" si="14"/>
        <v>100</v>
      </c>
      <c r="F223" t="str">
        <f>VLOOKUP(E223,Readme!$A$31:$C$131,2)</f>
        <v>Unharmed / Fresh</v>
      </c>
      <c r="G223">
        <f t="shared" si="15"/>
        <v>0</v>
      </c>
    </row>
    <row r="224" spans="2:7">
      <c r="B224">
        <v>120</v>
      </c>
      <c r="C224">
        <f t="shared" si="12"/>
        <v>120</v>
      </c>
      <c r="D224">
        <f t="shared" si="13"/>
        <v>0</v>
      </c>
      <c r="E224" s="2">
        <f t="shared" si="14"/>
        <v>100</v>
      </c>
      <c r="F224" t="str">
        <f>VLOOKUP(E224,Readme!$A$31:$C$131,2)</f>
        <v>Unharmed / Fresh</v>
      </c>
      <c r="G224">
        <f t="shared" si="15"/>
        <v>0</v>
      </c>
    </row>
    <row r="225" spans="2:7">
      <c r="B225">
        <v>120</v>
      </c>
      <c r="C225">
        <f t="shared" si="12"/>
        <v>120</v>
      </c>
      <c r="D225">
        <f t="shared" si="13"/>
        <v>0</v>
      </c>
      <c r="E225" s="2">
        <f t="shared" si="14"/>
        <v>100</v>
      </c>
      <c r="F225" t="str">
        <f>VLOOKUP(E225,Readme!$A$31:$C$131,2)</f>
        <v>Unharmed / Fresh</v>
      </c>
      <c r="G225">
        <f t="shared" si="15"/>
        <v>0</v>
      </c>
    </row>
    <row r="226" spans="2:7">
      <c r="B226">
        <v>120</v>
      </c>
      <c r="C226">
        <f t="shared" si="12"/>
        <v>120</v>
      </c>
      <c r="D226">
        <f t="shared" si="13"/>
        <v>0</v>
      </c>
      <c r="E226" s="2">
        <f t="shared" si="14"/>
        <v>100</v>
      </c>
      <c r="F226" t="str">
        <f>VLOOKUP(E226,Readme!$A$31:$C$131,2)</f>
        <v>Unharmed / Fresh</v>
      </c>
      <c r="G226">
        <f t="shared" si="15"/>
        <v>0</v>
      </c>
    </row>
    <row r="227" spans="2:7">
      <c r="B227">
        <v>120</v>
      </c>
      <c r="C227">
        <f t="shared" si="12"/>
        <v>120</v>
      </c>
      <c r="D227">
        <f t="shared" si="13"/>
        <v>0</v>
      </c>
      <c r="E227" s="2">
        <f t="shared" si="14"/>
        <v>100</v>
      </c>
      <c r="F227" t="str">
        <f>VLOOKUP(E227,Readme!$A$31:$C$131,2)</f>
        <v>Unharmed / Fresh</v>
      </c>
      <c r="G227">
        <f t="shared" si="15"/>
        <v>0</v>
      </c>
    </row>
    <row r="228" spans="2:7">
      <c r="B228">
        <v>120</v>
      </c>
      <c r="C228">
        <f t="shared" si="12"/>
        <v>120</v>
      </c>
      <c r="D228">
        <f t="shared" si="13"/>
        <v>0</v>
      </c>
      <c r="E228" s="2">
        <f t="shared" si="14"/>
        <v>100</v>
      </c>
      <c r="F228" t="str">
        <f>VLOOKUP(E228,Readme!$A$31:$C$131,2)</f>
        <v>Unharmed / Fresh</v>
      </c>
      <c r="G228">
        <f t="shared" si="15"/>
        <v>0</v>
      </c>
    </row>
    <row r="229" spans="2:7">
      <c r="B229">
        <v>120</v>
      </c>
      <c r="C229">
        <f t="shared" si="12"/>
        <v>120</v>
      </c>
      <c r="D229">
        <f t="shared" si="13"/>
        <v>0</v>
      </c>
      <c r="E229" s="2">
        <f t="shared" si="14"/>
        <v>100</v>
      </c>
      <c r="F229" t="str">
        <f>VLOOKUP(E229,Readme!$A$31:$C$131,2)</f>
        <v>Unharmed / Fresh</v>
      </c>
      <c r="G229">
        <f t="shared" si="15"/>
        <v>0</v>
      </c>
    </row>
    <row r="230" spans="2:7">
      <c r="B230">
        <v>120</v>
      </c>
      <c r="C230">
        <f t="shared" si="12"/>
        <v>120</v>
      </c>
      <c r="D230">
        <f t="shared" si="13"/>
        <v>0</v>
      </c>
      <c r="E230" s="2">
        <f t="shared" si="14"/>
        <v>100</v>
      </c>
      <c r="F230" t="str">
        <f>VLOOKUP(E230,Readme!$A$31:$C$131,2)</f>
        <v>Unharmed / Fresh</v>
      </c>
      <c r="G230">
        <f t="shared" si="15"/>
        <v>0</v>
      </c>
    </row>
    <row r="231" spans="2:7">
      <c r="B231">
        <v>120</v>
      </c>
      <c r="C231">
        <f t="shared" si="12"/>
        <v>120</v>
      </c>
      <c r="D231">
        <f t="shared" si="13"/>
        <v>0</v>
      </c>
      <c r="E231" s="2">
        <f t="shared" si="14"/>
        <v>100</v>
      </c>
      <c r="F231" t="str">
        <f>VLOOKUP(E231,Readme!$A$31:$C$131,2)</f>
        <v>Unharmed / Fresh</v>
      </c>
      <c r="G231">
        <f t="shared" si="15"/>
        <v>0</v>
      </c>
    </row>
    <row r="232" spans="2:7">
      <c r="B232">
        <v>120</v>
      </c>
      <c r="C232">
        <f t="shared" si="12"/>
        <v>120</v>
      </c>
      <c r="D232">
        <f t="shared" si="13"/>
        <v>0</v>
      </c>
      <c r="E232" s="2">
        <f t="shared" si="14"/>
        <v>100</v>
      </c>
      <c r="F232" t="str">
        <f>VLOOKUP(E232,Readme!$A$31:$C$131,2)</f>
        <v>Unharmed / Fresh</v>
      </c>
      <c r="G232">
        <f t="shared" si="15"/>
        <v>0</v>
      </c>
    </row>
    <row r="233" spans="2:7">
      <c r="B233">
        <v>120</v>
      </c>
      <c r="C233">
        <f t="shared" si="12"/>
        <v>120</v>
      </c>
      <c r="D233">
        <f t="shared" si="13"/>
        <v>0</v>
      </c>
      <c r="E233" s="2">
        <f t="shared" si="14"/>
        <v>100</v>
      </c>
      <c r="F233" t="str">
        <f>VLOOKUP(E233,Readme!$A$31:$C$131,2)</f>
        <v>Unharmed / Fresh</v>
      </c>
      <c r="G233">
        <f t="shared" si="15"/>
        <v>0</v>
      </c>
    </row>
    <row r="234" spans="2:7">
      <c r="B234">
        <v>120</v>
      </c>
      <c r="C234">
        <f t="shared" si="12"/>
        <v>120</v>
      </c>
      <c r="D234">
        <f t="shared" si="13"/>
        <v>0</v>
      </c>
      <c r="E234" s="2">
        <f t="shared" si="14"/>
        <v>100</v>
      </c>
      <c r="F234" t="str">
        <f>VLOOKUP(E234,Readme!$A$31:$C$131,2)</f>
        <v>Unharmed / Fresh</v>
      </c>
      <c r="G234">
        <f t="shared" si="15"/>
        <v>0</v>
      </c>
    </row>
    <row r="235" spans="2:7">
      <c r="B235">
        <v>120</v>
      </c>
      <c r="C235">
        <f t="shared" si="12"/>
        <v>120</v>
      </c>
      <c r="D235">
        <f t="shared" si="13"/>
        <v>0</v>
      </c>
      <c r="E235" s="2">
        <f t="shared" si="14"/>
        <v>100</v>
      </c>
      <c r="F235" t="str">
        <f>VLOOKUP(E235,Readme!$A$31:$C$131,2)</f>
        <v>Unharmed / Fresh</v>
      </c>
      <c r="G235">
        <f t="shared" si="15"/>
        <v>0</v>
      </c>
    </row>
    <row r="236" spans="2:7">
      <c r="B236">
        <v>120</v>
      </c>
      <c r="C236">
        <f t="shared" si="12"/>
        <v>120</v>
      </c>
      <c r="D236">
        <f t="shared" si="13"/>
        <v>0</v>
      </c>
      <c r="E236" s="2">
        <f t="shared" si="14"/>
        <v>100</v>
      </c>
      <c r="F236" t="str">
        <f>VLOOKUP(E236,Readme!$A$31:$C$131,2)</f>
        <v>Unharmed / Fresh</v>
      </c>
      <c r="G236">
        <f t="shared" si="15"/>
        <v>0</v>
      </c>
    </row>
    <row r="237" spans="2:7">
      <c r="B237">
        <v>120</v>
      </c>
      <c r="C237">
        <f t="shared" si="12"/>
        <v>120</v>
      </c>
      <c r="D237">
        <f t="shared" si="13"/>
        <v>0</v>
      </c>
      <c r="E237" s="2">
        <f t="shared" si="14"/>
        <v>100</v>
      </c>
      <c r="F237" t="str">
        <f>VLOOKUP(E237,Readme!$A$31:$C$131,2)</f>
        <v>Unharmed / Fresh</v>
      </c>
      <c r="G237">
        <f t="shared" si="15"/>
        <v>0</v>
      </c>
    </row>
    <row r="238" spans="2:7">
      <c r="B238">
        <v>120</v>
      </c>
      <c r="C238">
        <f t="shared" si="12"/>
        <v>120</v>
      </c>
      <c r="D238">
        <f t="shared" si="13"/>
        <v>0</v>
      </c>
      <c r="E238" s="2">
        <f t="shared" si="14"/>
        <v>100</v>
      </c>
      <c r="F238" t="str">
        <f>VLOOKUP(E238,Readme!$A$31:$C$131,2)</f>
        <v>Unharmed / Fresh</v>
      </c>
      <c r="G238">
        <f t="shared" si="15"/>
        <v>0</v>
      </c>
    </row>
    <row r="239" spans="2:7">
      <c r="B239">
        <v>120</v>
      </c>
      <c r="C239">
        <f t="shared" si="12"/>
        <v>120</v>
      </c>
      <c r="D239">
        <f t="shared" si="13"/>
        <v>0</v>
      </c>
      <c r="E239" s="2">
        <f t="shared" si="14"/>
        <v>100</v>
      </c>
      <c r="F239" t="str">
        <f>VLOOKUP(E239,Readme!$A$31:$C$131,2)</f>
        <v>Unharmed / Fresh</v>
      </c>
      <c r="G239">
        <f t="shared" si="15"/>
        <v>0</v>
      </c>
    </row>
    <row r="240" spans="2:7">
      <c r="B240">
        <v>120</v>
      </c>
      <c r="C240">
        <f t="shared" si="12"/>
        <v>120</v>
      </c>
      <c r="D240">
        <f t="shared" si="13"/>
        <v>0</v>
      </c>
      <c r="E240" s="2">
        <f t="shared" si="14"/>
        <v>100</v>
      </c>
      <c r="F240" t="str">
        <f>VLOOKUP(E240,Readme!$A$31:$C$131,2)</f>
        <v>Unharmed / Fresh</v>
      </c>
      <c r="G240">
        <f t="shared" si="15"/>
        <v>0</v>
      </c>
    </row>
    <row r="241" spans="2:7">
      <c r="B241">
        <v>120</v>
      </c>
      <c r="C241">
        <f t="shared" si="12"/>
        <v>120</v>
      </c>
      <c r="D241">
        <f t="shared" si="13"/>
        <v>0</v>
      </c>
      <c r="E241" s="2">
        <f t="shared" si="14"/>
        <v>100</v>
      </c>
      <c r="F241" t="str">
        <f>VLOOKUP(E241,Readme!$A$31:$C$131,2)</f>
        <v>Unharmed / Fresh</v>
      </c>
      <c r="G241">
        <f t="shared" si="15"/>
        <v>0</v>
      </c>
    </row>
    <row r="242" spans="2:7">
      <c r="B242">
        <v>120</v>
      </c>
      <c r="C242">
        <f t="shared" si="12"/>
        <v>120</v>
      </c>
      <c r="D242">
        <f t="shared" si="13"/>
        <v>0</v>
      </c>
      <c r="E242" s="2">
        <f t="shared" si="14"/>
        <v>100</v>
      </c>
      <c r="F242" t="str">
        <f>VLOOKUP(E242,Readme!$A$31:$C$131,2)</f>
        <v>Unharmed / Fresh</v>
      </c>
      <c r="G242">
        <f t="shared" si="15"/>
        <v>0</v>
      </c>
    </row>
    <row r="243" spans="2:7">
      <c r="B243">
        <v>120</v>
      </c>
      <c r="C243">
        <f t="shared" si="12"/>
        <v>120</v>
      </c>
      <c r="D243">
        <f t="shared" si="13"/>
        <v>0</v>
      </c>
      <c r="E243" s="2">
        <f t="shared" si="14"/>
        <v>100</v>
      </c>
      <c r="F243" t="str">
        <f>VLOOKUP(E243,Readme!$A$31:$C$131,2)</f>
        <v>Unharmed / Fresh</v>
      </c>
      <c r="G243">
        <f t="shared" si="15"/>
        <v>0</v>
      </c>
    </row>
    <row r="244" spans="2:7">
      <c r="B244">
        <v>120</v>
      </c>
      <c r="C244">
        <f t="shared" si="12"/>
        <v>120</v>
      </c>
      <c r="D244">
        <f t="shared" si="13"/>
        <v>0</v>
      </c>
      <c r="E244" s="2">
        <f t="shared" si="14"/>
        <v>100</v>
      </c>
      <c r="F244" t="str">
        <f>VLOOKUP(E244,Readme!$A$31:$C$131,2)</f>
        <v>Unharmed / Fresh</v>
      </c>
      <c r="G244">
        <f t="shared" si="15"/>
        <v>0</v>
      </c>
    </row>
    <row r="245" spans="2:7">
      <c r="B245">
        <v>120</v>
      </c>
      <c r="C245">
        <f t="shared" si="12"/>
        <v>120</v>
      </c>
      <c r="D245">
        <f t="shared" si="13"/>
        <v>0</v>
      </c>
      <c r="E245" s="2">
        <f t="shared" si="14"/>
        <v>100</v>
      </c>
      <c r="F245" t="str">
        <f>VLOOKUP(E245,Readme!$A$31:$C$131,2)</f>
        <v>Unharmed / Fresh</v>
      </c>
      <c r="G245">
        <f t="shared" si="15"/>
        <v>0</v>
      </c>
    </row>
    <row r="246" spans="2:7">
      <c r="B246">
        <v>120</v>
      </c>
      <c r="C246">
        <f t="shared" si="12"/>
        <v>120</v>
      </c>
      <c r="D246">
        <f t="shared" si="13"/>
        <v>0</v>
      </c>
      <c r="E246" s="2">
        <f t="shared" si="14"/>
        <v>100</v>
      </c>
      <c r="F246" t="str">
        <f>VLOOKUP(E246,Readme!$A$31:$C$131,2)</f>
        <v>Unharmed / Fresh</v>
      </c>
      <c r="G246">
        <f t="shared" si="15"/>
        <v>0</v>
      </c>
    </row>
    <row r="247" spans="2:7">
      <c r="B247">
        <v>120</v>
      </c>
      <c r="C247">
        <f t="shared" si="12"/>
        <v>120</v>
      </c>
      <c r="D247">
        <f t="shared" si="13"/>
        <v>0</v>
      </c>
      <c r="E247" s="2">
        <f t="shared" si="14"/>
        <v>100</v>
      </c>
      <c r="F247" t="str">
        <f>VLOOKUP(E247,Readme!$A$31:$C$131,2)</f>
        <v>Unharmed / Fresh</v>
      </c>
      <c r="G247">
        <f t="shared" si="15"/>
        <v>0</v>
      </c>
    </row>
    <row r="248" spans="2:7">
      <c r="B248">
        <v>120</v>
      </c>
      <c r="C248">
        <f t="shared" si="12"/>
        <v>120</v>
      </c>
      <c r="D248">
        <f t="shared" si="13"/>
        <v>0</v>
      </c>
      <c r="E248" s="2">
        <f t="shared" si="14"/>
        <v>100</v>
      </c>
      <c r="F248" t="str">
        <f>VLOOKUP(E248,Readme!$A$31:$C$131,2)</f>
        <v>Unharmed / Fresh</v>
      </c>
      <c r="G248">
        <f t="shared" si="15"/>
        <v>0</v>
      </c>
    </row>
    <row r="249" spans="2:7">
      <c r="B249">
        <v>120</v>
      </c>
      <c r="C249">
        <f t="shared" si="12"/>
        <v>120</v>
      </c>
      <c r="D249">
        <f t="shared" si="13"/>
        <v>0</v>
      </c>
      <c r="E249" s="2">
        <f t="shared" si="14"/>
        <v>100</v>
      </c>
      <c r="F249" t="str">
        <f>VLOOKUP(E249,Readme!$A$31:$C$131,2)</f>
        <v>Unharmed / Fresh</v>
      </c>
      <c r="G249">
        <f t="shared" si="15"/>
        <v>0</v>
      </c>
    </row>
    <row r="250" spans="2:7">
      <c r="B250">
        <v>120</v>
      </c>
      <c r="C250">
        <f t="shared" si="12"/>
        <v>120</v>
      </c>
      <c r="D250">
        <f t="shared" si="13"/>
        <v>0</v>
      </c>
      <c r="E250" s="2">
        <f t="shared" si="14"/>
        <v>100</v>
      </c>
      <c r="F250" t="str">
        <f>VLOOKUP(E250,Readme!$A$31:$C$131,2)</f>
        <v>Unharmed / Fresh</v>
      </c>
      <c r="G250">
        <f t="shared" si="15"/>
        <v>0</v>
      </c>
    </row>
    <row r="251" spans="2:7">
      <c r="B251">
        <v>120</v>
      </c>
      <c r="C251">
        <f t="shared" si="12"/>
        <v>120</v>
      </c>
      <c r="D251">
        <f t="shared" si="13"/>
        <v>0</v>
      </c>
      <c r="E251" s="2">
        <f t="shared" si="14"/>
        <v>100</v>
      </c>
      <c r="F251" t="str">
        <f>VLOOKUP(E251,Readme!$A$31:$C$131,2)</f>
        <v>Unharmed / Fresh</v>
      </c>
      <c r="G251">
        <f t="shared" si="15"/>
        <v>0</v>
      </c>
    </row>
    <row r="252" spans="2:7">
      <c r="B252">
        <v>120</v>
      </c>
      <c r="C252">
        <f t="shared" si="12"/>
        <v>120</v>
      </c>
      <c r="D252">
        <f t="shared" si="13"/>
        <v>0</v>
      </c>
      <c r="E252" s="2">
        <f t="shared" si="14"/>
        <v>100</v>
      </c>
      <c r="F252" t="str">
        <f>VLOOKUP(E252,Readme!$A$31:$C$131,2)</f>
        <v>Unharmed / Fresh</v>
      </c>
      <c r="G252">
        <f t="shared" si="15"/>
        <v>0</v>
      </c>
    </row>
    <row r="253" spans="2:7">
      <c r="B253">
        <v>120</v>
      </c>
      <c r="C253">
        <f t="shared" si="12"/>
        <v>120</v>
      </c>
      <c r="D253">
        <f t="shared" si="13"/>
        <v>0</v>
      </c>
      <c r="E253" s="2">
        <f t="shared" si="14"/>
        <v>100</v>
      </c>
      <c r="F253" t="str">
        <f>VLOOKUP(E253,Readme!$A$31:$C$131,2)</f>
        <v>Unharmed / Fresh</v>
      </c>
      <c r="G253">
        <f t="shared" si="15"/>
        <v>0</v>
      </c>
    </row>
    <row r="254" spans="2:7">
      <c r="B254">
        <v>120</v>
      </c>
      <c r="C254">
        <f t="shared" si="12"/>
        <v>120</v>
      </c>
      <c r="D254">
        <f t="shared" si="13"/>
        <v>0</v>
      </c>
      <c r="E254" s="2">
        <f t="shared" si="14"/>
        <v>100</v>
      </c>
      <c r="F254" t="str">
        <f>VLOOKUP(E254,Readme!$A$31:$C$131,2)</f>
        <v>Unharmed / Fresh</v>
      </c>
      <c r="G254">
        <f t="shared" si="15"/>
        <v>0</v>
      </c>
    </row>
    <row r="255" spans="2:7">
      <c r="B255">
        <v>120</v>
      </c>
      <c r="C255">
        <f t="shared" si="12"/>
        <v>120</v>
      </c>
      <c r="D255">
        <f t="shared" si="13"/>
        <v>0</v>
      </c>
      <c r="E255" s="2">
        <f t="shared" si="14"/>
        <v>100</v>
      </c>
      <c r="F255" t="str">
        <f>VLOOKUP(E255,Readme!$A$31:$C$131,2)</f>
        <v>Unharmed / Fresh</v>
      </c>
      <c r="G255">
        <f t="shared" si="15"/>
        <v>0</v>
      </c>
    </row>
    <row r="256" spans="2:7">
      <c r="B256">
        <v>120</v>
      </c>
      <c r="C256">
        <f t="shared" si="12"/>
        <v>120</v>
      </c>
      <c r="D256">
        <f t="shared" si="13"/>
        <v>0</v>
      </c>
      <c r="E256" s="2">
        <f t="shared" si="14"/>
        <v>100</v>
      </c>
      <c r="F256" t="str">
        <f>VLOOKUP(E256,Readme!$A$31:$C$131,2)</f>
        <v>Unharmed / Fresh</v>
      </c>
      <c r="G256">
        <f t="shared" si="15"/>
        <v>0</v>
      </c>
    </row>
    <row r="257" spans="2:7">
      <c r="B257">
        <v>120</v>
      </c>
      <c r="C257">
        <f t="shared" si="12"/>
        <v>120</v>
      </c>
      <c r="D257">
        <f t="shared" si="13"/>
        <v>0</v>
      </c>
      <c r="E257" s="2">
        <f t="shared" si="14"/>
        <v>100</v>
      </c>
      <c r="F257" t="str">
        <f>VLOOKUP(E257,Readme!$A$31:$C$131,2)</f>
        <v>Unharmed / Fresh</v>
      </c>
      <c r="G257">
        <f t="shared" si="15"/>
        <v>0</v>
      </c>
    </row>
    <row r="258" spans="2:7">
      <c r="B258">
        <v>120</v>
      </c>
      <c r="C258">
        <f t="shared" si="12"/>
        <v>120</v>
      </c>
      <c r="D258">
        <f t="shared" si="13"/>
        <v>0</v>
      </c>
      <c r="E258" s="2">
        <f t="shared" si="14"/>
        <v>100</v>
      </c>
      <c r="F258" t="str">
        <f>VLOOKUP(E258,Readme!$A$31:$C$131,2)</f>
        <v>Unharmed / Fresh</v>
      </c>
      <c r="G258">
        <f t="shared" si="15"/>
        <v>0</v>
      </c>
    </row>
    <row r="259" spans="2:7">
      <c r="B259">
        <v>120</v>
      </c>
      <c r="C259">
        <f t="shared" ref="C259:C322" si="16">B259-G259</f>
        <v>120</v>
      </c>
      <c r="D259">
        <f t="shared" ref="D259:D322" si="17">B259-C259</f>
        <v>0</v>
      </c>
      <c r="E259" s="2">
        <f t="shared" ref="E259:E322" si="18">(C259/B259)*100</f>
        <v>100</v>
      </c>
      <c r="F259" t="str">
        <f>VLOOKUP(E259,Readme!$A$31:$C$131,2)</f>
        <v>Unharmed / Fresh</v>
      </c>
      <c r="G259">
        <f t="shared" ref="G259:G322" si="19">SUM(H259:FY259)</f>
        <v>0</v>
      </c>
    </row>
    <row r="260" spans="2:7">
      <c r="B260">
        <v>120</v>
      </c>
      <c r="C260">
        <f t="shared" si="16"/>
        <v>120</v>
      </c>
      <c r="D260">
        <f t="shared" si="17"/>
        <v>0</v>
      </c>
      <c r="E260" s="2">
        <f t="shared" si="18"/>
        <v>100</v>
      </c>
      <c r="F260" t="str">
        <f>VLOOKUP(E260,Readme!$A$31:$C$131,2)</f>
        <v>Unharmed / Fresh</v>
      </c>
      <c r="G260">
        <f t="shared" si="19"/>
        <v>0</v>
      </c>
    </row>
    <row r="261" spans="2:7">
      <c r="B261">
        <v>120</v>
      </c>
      <c r="C261">
        <f t="shared" si="16"/>
        <v>120</v>
      </c>
      <c r="D261">
        <f t="shared" si="17"/>
        <v>0</v>
      </c>
      <c r="E261" s="2">
        <f t="shared" si="18"/>
        <v>100</v>
      </c>
      <c r="F261" t="str">
        <f>VLOOKUP(E261,Readme!$A$31:$C$131,2)</f>
        <v>Unharmed / Fresh</v>
      </c>
      <c r="G261">
        <f t="shared" si="19"/>
        <v>0</v>
      </c>
    </row>
    <row r="262" spans="2:7">
      <c r="B262">
        <v>120</v>
      </c>
      <c r="C262">
        <f t="shared" si="16"/>
        <v>120</v>
      </c>
      <c r="D262">
        <f t="shared" si="17"/>
        <v>0</v>
      </c>
      <c r="E262" s="2">
        <f t="shared" si="18"/>
        <v>100</v>
      </c>
      <c r="F262" t="str">
        <f>VLOOKUP(E262,Readme!$A$31:$C$131,2)</f>
        <v>Unharmed / Fresh</v>
      </c>
      <c r="G262">
        <f t="shared" si="19"/>
        <v>0</v>
      </c>
    </row>
    <row r="263" spans="2:7">
      <c r="B263">
        <v>120</v>
      </c>
      <c r="C263">
        <f t="shared" si="16"/>
        <v>120</v>
      </c>
      <c r="D263">
        <f t="shared" si="17"/>
        <v>0</v>
      </c>
      <c r="E263" s="2">
        <f t="shared" si="18"/>
        <v>100</v>
      </c>
      <c r="F263" t="str">
        <f>VLOOKUP(E263,Readme!$A$31:$C$131,2)</f>
        <v>Unharmed / Fresh</v>
      </c>
      <c r="G263">
        <f t="shared" si="19"/>
        <v>0</v>
      </c>
    </row>
    <row r="264" spans="2:7">
      <c r="B264">
        <v>120</v>
      </c>
      <c r="C264">
        <f t="shared" si="16"/>
        <v>120</v>
      </c>
      <c r="D264">
        <f t="shared" si="17"/>
        <v>0</v>
      </c>
      <c r="E264" s="2">
        <f t="shared" si="18"/>
        <v>100</v>
      </c>
      <c r="F264" t="str">
        <f>VLOOKUP(E264,Readme!$A$31:$C$131,2)</f>
        <v>Unharmed / Fresh</v>
      </c>
      <c r="G264">
        <f t="shared" si="19"/>
        <v>0</v>
      </c>
    </row>
    <row r="265" spans="2:7">
      <c r="B265">
        <v>120</v>
      </c>
      <c r="C265">
        <f t="shared" si="16"/>
        <v>120</v>
      </c>
      <c r="D265">
        <f t="shared" si="17"/>
        <v>0</v>
      </c>
      <c r="E265" s="2">
        <f t="shared" si="18"/>
        <v>100</v>
      </c>
      <c r="F265" t="str">
        <f>VLOOKUP(E265,Readme!$A$31:$C$131,2)</f>
        <v>Unharmed / Fresh</v>
      </c>
      <c r="G265">
        <f t="shared" si="19"/>
        <v>0</v>
      </c>
    </row>
    <row r="266" spans="2:7">
      <c r="B266">
        <v>120</v>
      </c>
      <c r="C266">
        <f t="shared" si="16"/>
        <v>120</v>
      </c>
      <c r="D266">
        <f t="shared" si="17"/>
        <v>0</v>
      </c>
      <c r="E266" s="2">
        <f t="shared" si="18"/>
        <v>100</v>
      </c>
      <c r="F266" t="str">
        <f>VLOOKUP(E266,Readme!$A$31:$C$131,2)</f>
        <v>Unharmed / Fresh</v>
      </c>
      <c r="G266">
        <f t="shared" si="19"/>
        <v>0</v>
      </c>
    </row>
    <row r="267" spans="2:7">
      <c r="B267">
        <v>120</v>
      </c>
      <c r="C267">
        <f t="shared" si="16"/>
        <v>120</v>
      </c>
      <c r="D267">
        <f t="shared" si="17"/>
        <v>0</v>
      </c>
      <c r="E267" s="2">
        <f t="shared" si="18"/>
        <v>100</v>
      </c>
      <c r="F267" t="str">
        <f>VLOOKUP(E267,Readme!$A$31:$C$131,2)</f>
        <v>Unharmed / Fresh</v>
      </c>
      <c r="G267">
        <f t="shared" si="19"/>
        <v>0</v>
      </c>
    </row>
    <row r="268" spans="2:7">
      <c r="B268">
        <v>120</v>
      </c>
      <c r="C268">
        <f t="shared" si="16"/>
        <v>120</v>
      </c>
      <c r="D268">
        <f t="shared" si="17"/>
        <v>0</v>
      </c>
      <c r="E268" s="2">
        <f t="shared" si="18"/>
        <v>100</v>
      </c>
      <c r="F268" t="str">
        <f>VLOOKUP(E268,Readme!$A$31:$C$131,2)</f>
        <v>Unharmed / Fresh</v>
      </c>
      <c r="G268">
        <f t="shared" si="19"/>
        <v>0</v>
      </c>
    </row>
    <row r="269" spans="2:7">
      <c r="B269">
        <v>120</v>
      </c>
      <c r="C269">
        <f t="shared" si="16"/>
        <v>120</v>
      </c>
      <c r="D269">
        <f t="shared" si="17"/>
        <v>0</v>
      </c>
      <c r="E269" s="2">
        <f t="shared" si="18"/>
        <v>100</v>
      </c>
      <c r="F269" t="str">
        <f>VLOOKUP(E269,Readme!$A$31:$C$131,2)</f>
        <v>Unharmed / Fresh</v>
      </c>
      <c r="G269">
        <f t="shared" si="19"/>
        <v>0</v>
      </c>
    </row>
    <row r="270" spans="2:7">
      <c r="B270">
        <v>120</v>
      </c>
      <c r="C270">
        <f t="shared" si="16"/>
        <v>120</v>
      </c>
      <c r="D270">
        <f t="shared" si="17"/>
        <v>0</v>
      </c>
      <c r="E270" s="2">
        <f t="shared" si="18"/>
        <v>100</v>
      </c>
      <c r="F270" t="str">
        <f>VLOOKUP(E270,Readme!$A$31:$C$131,2)</f>
        <v>Unharmed / Fresh</v>
      </c>
      <c r="G270">
        <f t="shared" si="19"/>
        <v>0</v>
      </c>
    </row>
    <row r="271" spans="2:7">
      <c r="B271">
        <v>120</v>
      </c>
      <c r="C271">
        <f t="shared" si="16"/>
        <v>120</v>
      </c>
      <c r="D271">
        <f t="shared" si="17"/>
        <v>0</v>
      </c>
      <c r="E271" s="2">
        <f t="shared" si="18"/>
        <v>100</v>
      </c>
      <c r="F271" t="str">
        <f>VLOOKUP(E271,Readme!$A$31:$C$131,2)</f>
        <v>Unharmed / Fresh</v>
      </c>
      <c r="G271">
        <f t="shared" si="19"/>
        <v>0</v>
      </c>
    </row>
    <row r="272" spans="2:7">
      <c r="B272">
        <v>120</v>
      </c>
      <c r="C272">
        <f t="shared" si="16"/>
        <v>120</v>
      </c>
      <c r="D272">
        <f t="shared" si="17"/>
        <v>0</v>
      </c>
      <c r="E272" s="2">
        <f t="shared" si="18"/>
        <v>100</v>
      </c>
      <c r="F272" t="str">
        <f>VLOOKUP(E272,Readme!$A$31:$C$131,2)</f>
        <v>Unharmed / Fresh</v>
      </c>
      <c r="G272">
        <f t="shared" si="19"/>
        <v>0</v>
      </c>
    </row>
    <row r="273" spans="2:7">
      <c r="B273">
        <v>120</v>
      </c>
      <c r="C273">
        <f t="shared" si="16"/>
        <v>120</v>
      </c>
      <c r="D273">
        <f t="shared" si="17"/>
        <v>0</v>
      </c>
      <c r="E273" s="2">
        <f t="shared" si="18"/>
        <v>100</v>
      </c>
      <c r="F273" t="str">
        <f>VLOOKUP(E273,Readme!$A$31:$C$131,2)</f>
        <v>Unharmed / Fresh</v>
      </c>
      <c r="G273">
        <f t="shared" si="19"/>
        <v>0</v>
      </c>
    </row>
    <row r="274" spans="2:7">
      <c r="B274">
        <v>120</v>
      </c>
      <c r="C274">
        <f t="shared" si="16"/>
        <v>120</v>
      </c>
      <c r="D274">
        <f t="shared" si="17"/>
        <v>0</v>
      </c>
      <c r="E274" s="2">
        <f t="shared" si="18"/>
        <v>100</v>
      </c>
      <c r="F274" t="str">
        <f>VLOOKUP(E274,Readme!$A$31:$C$131,2)</f>
        <v>Unharmed / Fresh</v>
      </c>
      <c r="G274">
        <f t="shared" si="19"/>
        <v>0</v>
      </c>
    </row>
    <row r="275" spans="2:7">
      <c r="B275">
        <v>120</v>
      </c>
      <c r="C275">
        <f t="shared" si="16"/>
        <v>120</v>
      </c>
      <c r="D275">
        <f t="shared" si="17"/>
        <v>0</v>
      </c>
      <c r="E275" s="2">
        <f t="shared" si="18"/>
        <v>100</v>
      </c>
      <c r="F275" t="str">
        <f>VLOOKUP(E275,Readme!$A$31:$C$131,2)</f>
        <v>Unharmed / Fresh</v>
      </c>
      <c r="G275">
        <f t="shared" si="19"/>
        <v>0</v>
      </c>
    </row>
    <row r="276" spans="2:7">
      <c r="B276">
        <v>120</v>
      </c>
      <c r="C276">
        <f t="shared" si="16"/>
        <v>120</v>
      </c>
      <c r="D276">
        <f t="shared" si="17"/>
        <v>0</v>
      </c>
      <c r="E276" s="2">
        <f t="shared" si="18"/>
        <v>100</v>
      </c>
      <c r="F276" t="str">
        <f>VLOOKUP(E276,Readme!$A$31:$C$131,2)</f>
        <v>Unharmed / Fresh</v>
      </c>
      <c r="G276">
        <f t="shared" si="19"/>
        <v>0</v>
      </c>
    </row>
    <row r="277" spans="2:7">
      <c r="B277">
        <v>120</v>
      </c>
      <c r="C277">
        <f t="shared" si="16"/>
        <v>120</v>
      </c>
      <c r="D277">
        <f t="shared" si="17"/>
        <v>0</v>
      </c>
      <c r="E277" s="2">
        <f t="shared" si="18"/>
        <v>100</v>
      </c>
      <c r="F277" t="str">
        <f>VLOOKUP(E277,Readme!$A$31:$C$131,2)</f>
        <v>Unharmed / Fresh</v>
      </c>
      <c r="G277">
        <f t="shared" si="19"/>
        <v>0</v>
      </c>
    </row>
    <row r="278" spans="2:7">
      <c r="B278">
        <v>120</v>
      </c>
      <c r="C278">
        <f t="shared" si="16"/>
        <v>120</v>
      </c>
      <c r="D278">
        <f t="shared" si="17"/>
        <v>0</v>
      </c>
      <c r="E278" s="2">
        <f t="shared" si="18"/>
        <v>100</v>
      </c>
      <c r="F278" t="str">
        <f>VLOOKUP(E278,Readme!$A$31:$C$131,2)</f>
        <v>Unharmed / Fresh</v>
      </c>
      <c r="G278">
        <f t="shared" si="19"/>
        <v>0</v>
      </c>
    </row>
    <row r="279" spans="2:7">
      <c r="B279">
        <v>120</v>
      </c>
      <c r="C279">
        <f t="shared" si="16"/>
        <v>120</v>
      </c>
      <c r="D279">
        <f t="shared" si="17"/>
        <v>0</v>
      </c>
      <c r="E279" s="2">
        <f t="shared" si="18"/>
        <v>100</v>
      </c>
      <c r="F279" t="str">
        <f>VLOOKUP(E279,Readme!$A$31:$C$131,2)</f>
        <v>Unharmed / Fresh</v>
      </c>
      <c r="G279">
        <f t="shared" si="19"/>
        <v>0</v>
      </c>
    </row>
    <row r="280" spans="2:7">
      <c r="B280">
        <v>120</v>
      </c>
      <c r="C280">
        <f t="shared" si="16"/>
        <v>120</v>
      </c>
      <c r="D280">
        <f t="shared" si="17"/>
        <v>0</v>
      </c>
      <c r="E280" s="2">
        <f t="shared" si="18"/>
        <v>100</v>
      </c>
      <c r="F280" t="str">
        <f>VLOOKUP(E280,Readme!$A$31:$C$131,2)</f>
        <v>Unharmed / Fresh</v>
      </c>
      <c r="G280">
        <f t="shared" si="19"/>
        <v>0</v>
      </c>
    </row>
    <row r="281" spans="2:7">
      <c r="B281">
        <v>120</v>
      </c>
      <c r="C281">
        <f t="shared" si="16"/>
        <v>120</v>
      </c>
      <c r="D281">
        <f t="shared" si="17"/>
        <v>0</v>
      </c>
      <c r="E281" s="2">
        <f t="shared" si="18"/>
        <v>100</v>
      </c>
      <c r="F281" t="str">
        <f>VLOOKUP(E281,Readme!$A$31:$C$131,2)</f>
        <v>Unharmed / Fresh</v>
      </c>
      <c r="G281">
        <f t="shared" si="19"/>
        <v>0</v>
      </c>
    </row>
    <row r="282" spans="2:7">
      <c r="B282">
        <v>120</v>
      </c>
      <c r="C282">
        <f t="shared" si="16"/>
        <v>120</v>
      </c>
      <c r="D282">
        <f t="shared" si="17"/>
        <v>0</v>
      </c>
      <c r="E282" s="2">
        <f t="shared" si="18"/>
        <v>100</v>
      </c>
      <c r="F282" t="str">
        <f>VLOOKUP(E282,Readme!$A$31:$C$131,2)</f>
        <v>Unharmed / Fresh</v>
      </c>
      <c r="G282">
        <f t="shared" si="19"/>
        <v>0</v>
      </c>
    </row>
    <row r="283" spans="2:7">
      <c r="B283">
        <v>120</v>
      </c>
      <c r="C283">
        <f t="shared" si="16"/>
        <v>120</v>
      </c>
      <c r="D283">
        <f t="shared" si="17"/>
        <v>0</v>
      </c>
      <c r="E283" s="2">
        <f t="shared" si="18"/>
        <v>100</v>
      </c>
      <c r="F283" t="str">
        <f>VLOOKUP(E283,Readme!$A$31:$C$131,2)</f>
        <v>Unharmed / Fresh</v>
      </c>
      <c r="G283">
        <f t="shared" si="19"/>
        <v>0</v>
      </c>
    </row>
    <row r="284" spans="2:7">
      <c r="B284">
        <v>120</v>
      </c>
      <c r="C284">
        <f t="shared" si="16"/>
        <v>120</v>
      </c>
      <c r="D284">
        <f t="shared" si="17"/>
        <v>0</v>
      </c>
      <c r="E284" s="2">
        <f t="shared" si="18"/>
        <v>100</v>
      </c>
      <c r="F284" t="str">
        <f>VLOOKUP(E284,Readme!$A$31:$C$131,2)</f>
        <v>Unharmed / Fresh</v>
      </c>
      <c r="G284">
        <f t="shared" si="19"/>
        <v>0</v>
      </c>
    </row>
    <row r="285" spans="2:7">
      <c r="B285">
        <v>120</v>
      </c>
      <c r="C285">
        <f t="shared" si="16"/>
        <v>120</v>
      </c>
      <c r="D285">
        <f t="shared" si="17"/>
        <v>0</v>
      </c>
      <c r="E285" s="2">
        <f t="shared" si="18"/>
        <v>100</v>
      </c>
      <c r="F285" t="str">
        <f>VLOOKUP(E285,Readme!$A$31:$C$131,2)</f>
        <v>Unharmed / Fresh</v>
      </c>
      <c r="G285">
        <f t="shared" si="19"/>
        <v>0</v>
      </c>
    </row>
    <row r="286" spans="2:7">
      <c r="B286">
        <v>120</v>
      </c>
      <c r="C286">
        <f t="shared" si="16"/>
        <v>120</v>
      </c>
      <c r="D286">
        <f t="shared" si="17"/>
        <v>0</v>
      </c>
      <c r="E286" s="2">
        <f t="shared" si="18"/>
        <v>100</v>
      </c>
      <c r="F286" t="str">
        <f>VLOOKUP(E286,Readme!$A$31:$C$131,2)</f>
        <v>Unharmed / Fresh</v>
      </c>
      <c r="G286">
        <f t="shared" si="19"/>
        <v>0</v>
      </c>
    </row>
    <row r="287" spans="2:7">
      <c r="B287">
        <v>120</v>
      </c>
      <c r="C287">
        <f t="shared" si="16"/>
        <v>120</v>
      </c>
      <c r="D287">
        <f t="shared" si="17"/>
        <v>0</v>
      </c>
      <c r="E287" s="2">
        <f t="shared" si="18"/>
        <v>100</v>
      </c>
      <c r="F287" t="str">
        <f>VLOOKUP(E287,Readme!$A$31:$C$131,2)</f>
        <v>Unharmed / Fresh</v>
      </c>
      <c r="G287">
        <f t="shared" si="19"/>
        <v>0</v>
      </c>
    </row>
    <row r="288" spans="2:7">
      <c r="B288">
        <v>120</v>
      </c>
      <c r="C288">
        <f t="shared" si="16"/>
        <v>120</v>
      </c>
      <c r="D288">
        <f t="shared" si="17"/>
        <v>0</v>
      </c>
      <c r="E288" s="2">
        <f t="shared" si="18"/>
        <v>100</v>
      </c>
      <c r="F288" t="str">
        <f>VLOOKUP(E288,Readme!$A$31:$C$131,2)</f>
        <v>Unharmed / Fresh</v>
      </c>
      <c r="G288">
        <f t="shared" si="19"/>
        <v>0</v>
      </c>
    </row>
    <row r="289" spans="2:7">
      <c r="B289">
        <v>120</v>
      </c>
      <c r="C289">
        <f t="shared" si="16"/>
        <v>120</v>
      </c>
      <c r="D289">
        <f t="shared" si="17"/>
        <v>0</v>
      </c>
      <c r="E289" s="2">
        <f t="shared" si="18"/>
        <v>100</v>
      </c>
      <c r="F289" t="str">
        <f>VLOOKUP(E289,Readme!$A$31:$C$131,2)</f>
        <v>Unharmed / Fresh</v>
      </c>
      <c r="G289">
        <f t="shared" si="19"/>
        <v>0</v>
      </c>
    </row>
    <row r="290" spans="2:7">
      <c r="B290">
        <v>120</v>
      </c>
      <c r="C290">
        <f t="shared" si="16"/>
        <v>120</v>
      </c>
      <c r="D290">
        <f t="shared" si="17"/>
        <v>0</v>
      </c>
      <c r="E290" s="2">
        <f t="shared" si="18"/>
        <v>100</v>
      </c>
      <c r="F290" t="str">
        <f>VLOOKUP(E290,Readme!$A$31:$C$131,2)</f>
        <v>Unharmed / Fresh</v>
      </c>
      <c r="G290">
        <f t="shared" si="19"/>
        <v>0</v>
      </c>
    </row>
    <row r="291" spans="2:7">
      <c r="B291">
        <v>120</v>
      </c>
      <c r="C291">
        <f t="shared" si="16"/>
        <v>120</v>
      </c>
      <c r="D291">
        <f t="shared" si="17"/>
        <v>0</v>
      </c>
      <c r="E291" s="2">
        <f t="shared" si="18"/>
        <v>100</v>
      </c>
      <c r="F291" t="str">
        <f>VLOOKUP(E291,Readme!$A$31:$C$131,2)</f>
        <v>Unharmed / Fresh</v>
      </c>
      <c r="G291">
        <f t="shared" si="19"/>
        <v>0</v>
      </c>
    </row>
    <row r="292" spans="2:7">
      <c r="B292">
        <v>120</v>
      </c>
      <c r="C292">
        <f t="shared" si="16"/>
        <v>120</v>
      </c>
      <c r="D292">
        <f t="shared" si="17"/>
        <v>0</v>
      </c>
      <c r="E292" s="2">
        <f t="shared" si="18"/>
        <v>100</v>
      </c>
      <c r="F292" t="str">
        <f>VLOOKUP(E292,Readme!$A$31:$C$131,2)</f>
        <v>Unharmed / Fresh</v>
      </c>
      <c r="G292">
        <f t="shared" si="19"/>
        <v>0</v>
      </c>
    </row>
    <row r="293" spans="2:7">
      <c r="B293">
        <v>120</v>
      </c>
      <c r="C293">
        <f t="shared" si="16"/>
        <v>120</v>
      </c>
      <c r="D293">
        <f t="shared" si="17"/>
        <v>0</v>
      </c>
      <c r="E293" s="2">
        <f t="shared" si="18"/>
        <v>100</v>
      </c>
      <c r="F293" t="str">
        <f>VLOOKUP(E293,Readme!$A$31:$C$131,2)</f>
        <v>Unharmed / Fresh</v>
      </c>
      <c r="G293">
        <f t="shared" si="19"/>
        <v>0</v>
      </c>
    </row>
    <row r="294" spans="2:7">
      <c r="B294">
        <v>120</v>
      </c>
      <c r="C294">
        <f t="shared" si="16"/>
        <v>120</v>
      </c>
      <c r="D294">
        <f t="shared" si="17"/>
        <v>0</v>
      </c>
      <c r="E294" s="2">
        <f t="shared" si="18"/>
        <v>100</v>
      </c>
      <c r="F294" t="str">
        <f>VLOOKUP(E294,Readme!$A$31:$C$131,2)</f>
        <v>Unharmed / Fresh</v>
      </c>
      <c r="G294">
        <f t="shared" si="19"/>
        <v>0</v>
      </c>
    </row>
    <row r="295" spans="2:7">
      <c r="B295">
        <v>120</v>
      </c>
      <c r="C295">
        <f t="shared" si="16"/>
        <v>120</v>
      </c>
      <c r="D295">
        <f t="shared" si="17"/>
        <v>0</v>
      </c>
      <c r="E295" s="2">
        <f t="shared" si="18"/>
        <v>100</v>
      </c>
      <c r="F295" t="str">
        <f>VLOOKUP(E295,Readme!$A$31:$C$131,2)</f>
        <v>Unharmed / Fresh</v>
      </c>
      <c r="G295">
        <f t="shared" si="19"/>
        <v>0</v>
      </c>
    </row>
    <row r="296" spans="2:7">
      <c r="B296">
        <v>120</v>
      </c>
      <c r="C296">
        <f t="shared" si="16"/>
        <v>120</v>
      </c>
      <c r="D296">
        <f t="shared" si="17"/>
        <v>0</v>
      </c>
      <c r="E296" s="2">
        <f t="shared" si="18"/>
        <v>100</v>
      </c>
      <c r="F296" t="str">
        <f>VLOOKUP(E296,Readme!$A$31:$C$131,2)</f>
        <v>Unharmed / Fresh</v>
      </c>
      <c r="G296">
        <f t="shared" si="19"/>
        <v>0</v>
      </c>
    </row>
    <row r="297" spans="2:7">
      <c r="B297">
        <v>120</v>
      </c>
      <c r="C297">
        <f t="shared" si="16"/>
        <v>120</v>
      </c>
      <c r="D297">
        <f t="shared" si="17"/>
        <v>0</v>
      </c>
      <c r="E297" s="2">
        <f t="shared" si="18"/>
        <v>100</v>
      </c>
      <c r="F297" t="str">
        <f>VLOOKUP(E297,Readme!$A$31:$C$131,2)</f>
        <v>Unharmed / Fresh</v>
      </c>
      <c r="G297">
        <f t="shared" si="19"/>
        <v>0</v>
      </c>
    </row>
    <row r="298" spans="2:7">
      <c r="B298">
        <v>120</v>
      </c>
      <c r="C298">
        <f t="shared" si="16"/>
        <v>120</v>
      </c>
      <c r="D298">
        <f t="shared" si="17"/>
        <v>0</v>
      </c>
      <c r="E298" s="2">
        <f t="shared" si="18"/>
        <v>100</v>
      </c>
      <c r="F298" t="str">
        <f>VLOOKUP(E298,Readme!$A$31:$C$131,2)</f>
        <v>Unharmed / Fresh</v>
      </c>
      <c r="G298">
        <f t="shared" si="19"/>
        <v>0</v>
      </c>
    </row>
    <row r="299" spans="2:7">
      <c r="B299">
        <v>120</v>
      </c>
      <c r="C299">
        <f t="shared" si="16"/>
        <v>120</v>
      </c>
      <c r="D299">
        <f t="shared" si="17"/>
        <v>0</v>
      </c>
      <c r="E299" s="2">
        <f t="shared" si="18"/>
        <v>100</v>
      </c>
      <c r="F299" t="str">
        <f>VLOOKUP(E299,Readme!$A$31:$C$131,2)</f>
        <v>Unharmed / Fresh</v>
      </c>
      <c r="G299">
        <f t="shared" si="19"/>
        <v>0</v>
      </c>
    </row>
    <row r="300" spans="2:7">
      <c r="B300">
        <v>120</v>
      </c>
      <c r="C300">
        <f t="shared" si="16"/>
        <v>120</v>
      </c>
      <c r="D300">
        <f t="shared" si="17"/>
        <v>0</v>
      </c>
      <c r="E300" s="2">
        <f t="shared" si="18"/>
        <v>100</v>
      </c>
      <c r="F300" t="str">
        <f>VLOOKUP(E300,Readme!$A$31:$C$131,2)</f>
        <v>Unharmed / Fresh</v>
      </c>
      <c r="G300">
        <f t="shared" si="19"/>
        <v>0</v>
      </c>
    </row>
    <row r="301" spans="2:7">
      <c r="B301">
        <v>120</v>
      </c>
      <c r="C301">
        <f t="shared" si="16"/>
        <v>120</v>
      </c>
      <c r="D301">
        <f t="shared" si="17"/>
        <v>0</v>
      </c>
      <c r="E301" s="2">
        <f t="shared" si="18"/>
        <v>100</v>
      </c>
      <c r="F301" t="str">
        <f>VLOOKUP(E301,Readme!$A$31:$C$131,2)</f>
        <v>Unharmed / Fresh</v>
      </c>
      <c r="G301">
        <f t="shared" si="19"/>
        <v>0</v>
      </c>
    </row>
    <row r="302" spans="2:7">
      <c r="B302">
        <v>120</v>
      </c>
      <c r="C302">
        <f t="shared" si="16"/>
        <v>120</v>
      </c>
      <c r="D302">
        <f t="shared" si="17"/>
        <v>0</v>
      </c>
      <c r="E302" s="2">
        <f t="shared" si="18"/>
        <v>100</v>
      </c>
      <c r="F302" t="str">
        <f>VLOOKUP(E302,Readme!$A$31:$C$131,2)</f>
        <v>Unharmed / Fresh</v>
      </c>
      <c r="G302">
        <f t="shared" si="19"/>
        <v>0</v>
      </c>
    </row>
    <row r="303" spans="2:7">
      <c r="B303">
        <v>120</v>
      </c>
      <c r="C303">
        <f t="shared" si="16"/>
        <v>120</v>
      </c>
      <c r="D303">
        <f t="shared" si="17"/>
        <v>0</v>
      </c>
      <c r="E303" s="2">
        <f t="shared" si="18"/>
        <v>100</v>
      </c>
      <c r="F303" t="str">
        <f>VLOOKUP(E303,Readme!$A$31:$C$131,2)</f>
        <v>Unharmed / Fresh</v>
      </c>
      <c r="G303">
        <f t="shared" si="19"/>
        <v>0</v>
      </c>
    </row>
    <row r="304" spans="2:7">
      <c r="B304">
        <v>120</v>
      </c>
      <c r="C304">
        <f t="shared" si="16"/>
        <v>120</v>
      </c>
      <c r="D304">
        <f t="shared" si="17"/>
        <v>0</v>
      </c>
      <c r="E304" s="2">
        <f t="shared" si="18"/>
        <v>100</v>
      </c>
      <c r="F304" t="str">
        <f>VLOOKUP(E304,Readme!$A$31:$C$131,2)</f>
        <v>Unharmed / Fresh</v>
      </c>
      <c r="G304">
        <f t="shared" si="19"/>
        <v>0</v>
      </c>
    </row>
    <row r="305" spans="2:7">
      <c r="B305">
        <v>120</v>
      </c>
      <c r="C305">
        <f t="shared" si="16"/>
        <v>120</v>
      </c>
      <c r="D305">
        <f t="shared" si="17"/>
        <v>0</v>
      </c>
      <c r="E305" s="2">
        <f t="shared" si="18"/>
        <v>100</v>
      </c>
      <c r="F305" t="str">
        <f>VLOOKUP(E305,Readme!$A$31:$C$131,2)</f>
        <v>Unharmed / Fresh</v>
      </c>
      <c r="G305">
        <f t="shared" si="19"/>
        <v>0</v>
      </c>
    </row>
    <row r="306" spans="2:7">
      <c r="B306">
        <v>120</v>
      </c>
      <c r="C306">
        <f t="shared" si="16"/>
        <v>120</v>
      </c>
      <c r="D306">
        <f t="shared" si="17"/>
        <v>0</v>
      </c>
      <c r="E306" s="2">
        <f t="shared" si="18"/>
        <v>100</v>
      </c>
      <c r="F306" t="str">
        <f>VLOOKUP(E306,Readme!$A$31:$C$131,2)</f>
        <v>Unharmed / Fresh</v>
      </c>
      <c r="G306">
        <f t="shared" si="19"/>
        <v>0</v>
      </c>
    </row>
    <row r="307" spans="2:7">
      <c r="B307">
        <v>120</v>
      </c>
      <c r="C307">
        <f t="shared" si="16"/>
        <v>120</v>
      </c>
      <c r="D307">
        <f t="shared" si="17"/>
        <v>0</v>
      </c>
      <c r="E307" s="2">
        <f t="shared" si="18"/>
        <v>100</v>
      </c>
      <c r="F307" t="str">
        <f>VLOOKUP(E307,Readme!$A$31:$C$131,2)</f>
        <v>Unharmed / Fresh</v>
      </c>
      <c r="G307">
        <f t="shared" si="19"/>
        <v>0</v>
      </c>
    </row>
    <row r="308" spans="2:7">
      <c r="B308">
        <v>120</v>
      </c>
      <c r="C308">
        <f t="shared" si="16"/>
        <v>120</v>
      </c>
      <c r="D308">
        <f t="shared" si="17"/>
        <v>0</v>
      </c>
      <c r="E308" s="2">
        <f t="shared" si="18"/>
        <v>100</v>
      </c>
      <c r="F308" t="str">
        <f>VLOOKUP(E308,Readme!$A$31:$C$131,2)</f>
        <v>Unharmed / Fresh</v>
      </c>
      <c r="G308">
        <f t="shared" si="19"/>
        <v>0</v>
      </c>
    </row>
    <row r="309" spans="2:7">
      <c r="B309">
        <v>120</v>
      </c>
      <c r="C309">
        <f t="shared" si="16"/>
        <v>120</v>
      </c>
      <c r="D309">
        <f t="shared" si="17"/>
        <v>0</v>
      </c>
      <c r="E309" s="2">
        <f t="shared" si="18"/>
        <v>100</v>
      </c>
      <c r="F309" t="str">
        <f>VLOOKUP(E309,Readme!$A$31:$C$131,2)</f>
        <v>Unharmed / Fresh</v>
      </c>
      <c r="G309">
        <f t="shared" si="19"/>
        <v>0</v>
      </c>
    </row>
    <row r="310" spans="2:7">
      <c r="B310">
        <v>120</v>
      </c>
      <c r="C310">
        <f t="shared" si="16"/>
        <v>120</v>
      </c>
      <c r="D310">
        <f t="shared" si="17"/>
        <v>0</v>
      </c>
      <c r="E310" s="2">
        <f t="shared" si="18"/>
        <v>100</v>
      </c>
      <c r="F310" t="str">
        <f>VLOOKUP(E310,Readme!$A$31:$C$131,2)</f>
        <v>Unharmed / Fresh</v>
      </c>
      <c r="G310">
        <f t="shared" si="19"/>
        <v>0</v>
      </c>
    </row>
    <row r="311" spans="2:7">
      <c r="B311">
        <v>120</v>
      </c>
      <c r="C311">
        <f t="shared" si="16"/>
        <v>120</v>
      </c>
      <c r="D311">
        <f t="shared" si="17"/>
        <v>0</v>
      </c>
      <c r="E311" s="2">
        <f t="shared" si="18"/>
        <v>100</v>
      </c>
      <c r="F311" t="str">
        <f>VLOOKUP(E311,Readme!$A$31:$C$131,2)</f>
        <v>Unharmed / Fresh</v>
      </c>
      <c r="G311">
        <f t="shared" si="19"/>
        <v>0</v>
      </c>
    </row>
    <row r="312" spans="2:7">
      <c r="B312">
        <v>120</v>
      </c>
      <c r="C312">
        <f t="shared" si="16"/>
        <v>120</v>
      </c>
      <c r="D312">
        <f t="shared" si="17"/>
        <v>0</v>
      </c>
      <c r="E312" s="2">
        <f t="shared" si="18"/>
        <v>100</v>
      </c>
      <c r="F312" t="str">
        <f>VLOOKUP(E312,Readme!$A$31:$C$131,2)</f>
        <v>Unharmed / Fresh</v>
      </c>
      <c r="G312">
        <f t="shared" si="19"/>
        <v>0</v>
      </c>
    </row>
    <row r="313" spans="2:7">
      <c r="B313">
        <v>120</v>
      </c>
      <c r="C313">
        <f t="shared" si="16"/>
        <v>120</v>
      </c>
      <c r="D313">
        <f t="shared" si="17"/>
        <v>0</v>
      </c>
      <c r="E313" s="2">
        <f t="shared" si="18"/>
        <v>100</v>
      </c>
      <c r="F313" t="str">
        <f>VLOOKUP(E313,Readme!$A$31:$C$131,2)</f>
        <v>Unharmed / Fresh</v>
      </c>
      <c r="G313">
        <f t="shared" si="19"/>
        <v>0</v>
      </c>
    </row>
    <row r="314" spans="2:7">
      <c r="B314">
        <v>120</v>
      </c>
      <c r="C314">
        <f t="shared" si="16"/>
        <v>120</v>
      </c>
      <c r="D314">
        <f t="shared" si="17"/>
        <v>0</v>
      </c>
      <c r="E314" s="2">
        <f t="shared" si="18"/>
        <v>100</v>
      </c>
      <c r="F314" t="str">
        <f>VLOOKUP(E314,Readme!$A$31:$C$131,2)</f>
        <v>Unharmed / Fresh</v>
      </c>
      <c r="G314">
        <f t="shared" si="19"/>
        <v>0</v>
      </c>
    </row>
    <row r="315" spans="2:7">
      <c r="B315">
        <v>120</v>
      </c>
      <c r="C315">
        <f t="shared" si="16"/>
        <v>120</v>
      </c>
      <c r="D315">
        <f t="shared" si="17"/>
        <v>0</v>
      </c>
      <c r="E315" s="2">
        <f t="shared" si="18"/>
        <v>100</v>
      </c>
      <c r="F315" t="str">
        <f>VLOOKUP(E315,Readme!$A$31:$C$131,2)</f>
        <v>Unharmed / Fresh</v>
      </c>
      <c r="G315">
        <f t="shared" si="19"/>
        <v>0</v>
      </c>
    </row>
    <row r="316" spans="2:7">
      <c r="B316">
        <v>120</v>
      </c>
      <c r="C316">
        <f t="shared" si="16"/>
        <v>120</v>
      </c>
      <c r="D316">
        <f t="shared" si="17"/>
        <v>0</v>
      </c>
      <c r="E316" s="2">
        <f t="shared" si="18"/>
        <v>100</v>
      </c>
      <c r="F316" t="str">
        <f>VLOOKUP(E316,Readme!$A$31:$C$131,2)</f>
        <v>Unharmed / Fresh</v>
      </c>
      <c r="G316">
        <f t="shared" si="19"/>
        <v>0</v>
      </c>
    </row>
    <row r="317" spans="2:7">
      <c r="B317">
        <v>120</v>
      </c>
      <c r="C317">
        <f t="shared" si="16"/>
        <v>120</v>
      </c>
      <c r="D317">
        <f t="shared" si="17"/>
        <v>0</v>
      </c>
      <c r="E317" s="2">
        <f t="shared" si="18"/>
        <v>100</v>
      </c>
      <c r="F317" t="str">
        <f>VLOOKUP(E317,Readme!$A$31:$C$131,2)</f>
        <v>Unharmed / Fresh</v>
      </c>
      <c r="G317">
        <f t="shared" si="19"/>
        <v>0</v>
      </c>
    </row>
    <row r="318" spans="2:7">
      <c r="B318">
        <v>120</v>
      </c>
      <c r="C318">
        <f t="shared" si="16"/>
        <v>120</v>
      </c>
      <c r="D318">
        <f t="shared" si="17"/>
        <v>0</v>
      </c>
      <c r="E318" s="2">
        <f t="shared" si="18"/>
        <v>100</v>
      </c>
      <c r="F318" t="str">
        <f>VLOOKUP(E318,Readme!$A$31:$C$131,2)</f>
        <v>Unharmed / Fresh</v>
      </c>
      <c r="G318">
        <f t="shared" si="19"/>
        <v>0</v>
      </c>
    </row>
    <row r="319" spans="2:7">
      <c r="B319">
        <v>120</v>
      </c>
      <c r="C319">
        <f t="shared" si="16"/>
        <v>120</v>
      </c>
      <c r="D319">
        <f t="shared" si="17"/>
        <v>0</v>
      </c>
      <c r="E319" s="2">
        <f t="shared" si="18"/>
        <v>100</v>
      </c>
      <c r="F319" t="str">
        <f>VLOOKUP(E319,Readme!$A$31:$C$131,2)</f>
        <v>Unharmed / Fresh</v>
      </c>
      <c r="G319">
        <f t="shared" si="19"/>
        <v>0</v>
      </c>
    </row>
    <row r="320" spans="2:7">
      <c r="B320">
        <v>120</v>
      </c>
      <c r="C320">
        <f t="shared" si="16"/>
        <v>120</v>
      </c>
      <c r="D320">
        <f t="shared" si="17"/>
        <v>0</v>
      </c>
      <c r="E320" s="2">
        <f t="shared" si="18"/>
        <v>100</v>
      </c>
      <c r="F320" t="str">
        <f>VLOOKUP(E320,Readme!$A$31:$C$131,2)</f>
        <v>Unharmed / Fresh</v>
      </c>
      <c r="G320">
        <f t="shared" si="19"/>
        <v>0</v>
      </c>
    </row>
    <row r="321" spans="2:7">
      <c r="B321">
        <v>120</v>
      </c>
      <c r="C321">
        <f t="shared" si="16"/>
        <v>120</v>
      </c>
      <c r="D321">
        <f t="shared" si="17"/>
        <v>0</v>
      </c>
      <c r="E321" s="2">
        <f t="shared" si="18"/>
        <v>100</v>
      </c>
      <c r="F321" t="str">
        <f>VLOOKUP(E321,Readme!$A$31:$C$131,2)</f>
        <v>Unharmed / Fresh</v>
      </c>
      <c r="G321">
        <f t="shared" si="19"/>
        <v>0</v>
      </c>
    </row>
    <row r="322" spans="2:7">
      <c r="B322">
        <v>120</v>
      </c>
      <c r="C322">
        <f t="shared" si="16"/>
        <v>120</v>
      </c>
      <c r="D322">
        <f t="shared" si="17"/>
        <v>0</v>
      </c>
      <c r="E322" s="2">
        <f t="shared" si="18"/>
        <v>100</v>
      </c>
      <c r="F322" t="str">
        <f>VLOOKUP(E322,Readme!$A$31:$C$131,2)</f>
        <v>Unharmed / Fresh</v>
      </c>
      <c r="G322">
        <f t="shared" si="19"/>
        <v>0</v>
      </c>
    </row>
    <row r="323" spans="2:7">
      <c r="B323">
        <v>120</v>
      </c>
      <c r="C323">
        <f t="shared" ref="C323:C386" si="20">B323-G323</f>
        <v>120</v>
      </c>
      <c r="D323">
        <f t="shared" ref="D323:D386" si="21">B323-C323</f>
        <v>0</v>
      </c>
      <c r="E323" s="2">
        <f t="shared" ref="E323:E386" si="22">(C323/B323)*100</f>
        <v>100</v>
      </c>
      <c r="F323" t="str">
        <f>VLOOKUP(E323,Readme!$A$31:$C$131,2)</f>
        <v>Unharmed / Fresh</v>
      </c>
      <c r="G323">
        <f t="shared" ref="G323:G386" si="23">SUM(H323:FY323)</f>
        <v>0</v>
      </c>
    </row>
    <row r="324" spans="2:7">
      <c r="B324">
        <v>120</v>
      </c>
      <c r="C324">
        <f t="shared" si="20"/>
        <v>120</v>
      </c>
      <c r="D324">
        <f t="shared" si="21"/>
        <v>0</v>
      </c>
      <c r="E324" s="2">
        <f t="shared" si="22"/>
        <v>100</v>
      </c>
      <c r="F324" t="str">
        <f>VLOOKUP(E324,Readme!$A$31:$C$131,2)</f>
        <v>Unharmed / Fresh</v>
      </c>
      <c r="G324">
        <f t="shared" si="23"/>
        <v>0</v>
      </c>
    </row>
    <row r="325" spans="2:7">
      <c r="B325">
        <v>120</v>
      </c>
      <c r="C325">
        <f t="shared" si="20"/>
        <v>120</v>
      </c>
      <c r="D325">
        <f t="shared" si="21"/>
        <v>0</v>
      </c>
      <c r="E325" s="2">
        <f t="shared" si="22"/>
        <v>100</v>
      </c>
      <c r="F325" t="str">
        <f>VLOOKUP(E325,Readme!$A$31:$C$131,2)</f>
        <v>Unharmed / Fresh</v>
      </c>
      <c r="G325">
        <f t="shared" si="23"/>
        <v>0</v>
      </c>
    </row>
    <row r="326" spans="2:7">
      <c r="B326">
        <v>120</v>
      </c>
      <c r="C326">
        <f t="shared" si="20"/>
        <v>120</v>
      </c>
      <c r="D326">
        <f t="shared" si="21"/>
        <v>0</v>
      </c>
      <c r="E326" s="2">
        <f t="shared" si="22"/>
        <v>100</v>
      </c>
      <c r="F326" t="str">
        <f>VLOOKUP(E326,Readme!$A$31:$C$131,2)</f>
        <v>Unharmed / Fresh</v>
      </c>
      <c r="G326">
        <f t="shared" si="23"/>
        <v>0</v>
      </c>
    </row>
    <row r="327" spans="2:7">
      <c r="B327">
        <v>120</v>
      </c>
      <c r="C327">
        <f t="shared" si="20"/>
        <v>120</v>
      </c>
      <c r="D327">
        <f t="shared" si="21"/>
        <v>0</v>
      </c>
      <c r="E327" s="2">
        <f t="shared" si="22"/>
        <v>100</v>
      </c>
      <c r="F327" t="str">
        <f>VLOOKUP(E327,Readme!$A$31:$C$131,2)</f>
        <v>Unharmed / Fresh</v>
      </c>
      <c r="G327">
        <f t="shared" si="23"/>
        <v>0</v>
      </c>
    </row>
    <row r="328" spans="2:7">
      <c r="B328">
        <v>120</v>
      </c>
      <c r="C328">
        <f t="shared" si="20"/>
        <v>120</v>
      </c>
      <c r="D328">
        <f t="shared" si="21"/>
        <v>0</v>
      </c>
      <c r="E328" s="2">
        <f t="shared" si="22"/>
        <v>100</v>
      </c>
      <c r="F328" t="str">
        <f>VLOOKUP(E328,Readme!$A$31:$C$131,2)</f>
        <v>Unharmed / Fresh</v>
      </c>
      <c r="G328">
        <f t="shared" si="23"/>
        <v>0</v>
      </c>
    </row>
    <row r="329" spans="2:7">
      <c r="B329">
        <v>120</v>
      </c>
      <c r="C329">
        <f t="shared" si="20"/>
        <v>120</v>
      </c>
      <c r="D329">
        <f t="shared" si="21"/>
        <v>0</v>
      </c>
      <c r="E329" s="2">
        <f t="shared" si="22"/>
        <v>100</v>
      </c>
      <c r="F329" t="str">
        <f>VLOOKUP(E329,Readme!$A$31:$C$131,2)</f>
        <v>Unharmed / Fresh</v>
      </c>
      <c r="G329">
        <f t="shared" si="23"/>
        <v>0</v>
      </c>
    </row>
    <row r="330" spans="2:7">
      <c r="B330">
        <v>120</v>
      </c>
      <c r="C330">
        <f t="shared" si="20"/>
        <v>120</v>
      </c>
      <c r="D330">
        <f t="shared" si="21"/>
        <v>0</v>
      </c>
      <c r="E330" s="2">
        <f t="shared" si="22"/>
        <v>100</v>
      </c>
      <c r="F330" t="str">
        <f>VLOOKUP(E330,Readme!$A$31:$C$131,2)</f>
        <v>Unharmed / Fresh</v>
      </c>
      <c r="G330">
        <f t="shared" si="23"/>
        <v>0</v>
      </c>
    </row>
    <row r="331" spans="2:7">
      <c r="B331">
        <v>120</v>
      </c>
      <c r="C331">
        <f t="shared" si="20"/>
        <v>120</v>
      </c>
      <c r="D331">
        <f t="shared" si="21"/>
        <v>0</v>
      </c>
      <c r="E331" s="2">
        <f t="shared" si="22"/>
        <v>100</v>
      </c>
      <c r="F331" t="str">
        <f>VLOOKUP(E331,Readme!$A$31:$C$131,2)</f>
        <v>Unharmed / Fresh</v>
      </c>
      <c r="G331">
        <f t="shared" si="23"/>
        <v>0</v>
      </c>
    </row>
    <row r="332" spans="2:7">
      <c r="B332">
        <v>120</v>
      </c>
      <c r="C332">
        <f t="shared" si="20"/>
        <v>120</v>
      </c>
      <c r="D332">
        <f t="shared" si="21"/>
        <v>0</v>
      </c>
      <c r="E332" s="2">
        <f t="shared" si="22"/>
        <v>100</v>
      </c>
      <c r="F332" t="str">
        <f>VLOOKUP(E332,Readme!$A$31:$C$131,2)</f>
        <v>Unharmed / Fresh</v>
      </c>
      <c r="G332">
        <f t="shared" si="23"/>
        <v>0</v>
      </c>
    </row>
    <row r="333" spans="2:7">
      <c r="B333">
        <v>120</v>
      </c>
      <c r="C333">
        <f t="shared" si="20"/>
        <v>120</v>
      </c>
      <c r="D333">
        <f t="shared" si="21"/>
        <v>0</v>
      </c>
      <c r="E333" s="2">
        <f t="shared" si="22"/>
        <v>100</v>
      </c>
      <c r="F333" t="str">
        <f>VLOOKUP(E333,Readme!$A$31:$C$131,2)</f>
        <v>Unharmed / Fresh</v>
      </c>
      <c r="G333">
        <f t="shared" si="23"/>
        <v>0</v>
      </c>
    </row>
    <row r="334" spans="2:7">
      <c r="B334">
        <v>120</v>
      </c>
      <c r="C334">
        <f t="shared" si="20"/>
        <v>120</v>
      </c>
      <c r="D334">
        <f t="shared" si="21"/>
        <v>0</v>
      </c>
      <c r="E334" s="2">
        <f t="shared" si="22"/>
        <v>100</v>
      </c>
      <c r="F334" t="str">
        <f>VLOOKUP(E334,Readme!$A$31:$C$131,2)</f>
        <v>Unharmed / Fresh</v>
      </c>
      <c r="G334">
        <f t="shared" si="23"/>
        <v>0</v>
      </c>
    </row>
    <row r="335" spans="2:7">
      <c r="B335">
        <v>120</v>
      </c>
      <c r="C335">
        <f t="shared" si="20"/>
        <v>120</v>
      </c>
      <c r="D335">
        <f t="shared" si="21"/>
        <v>0</v>
      </c>
      <c r="E335" s="2">
        <f t="shared" si="22"/>
        <v>100</v>
      </c>
      <c r="F335" t="str">
        <f>VLOOKUP(E335,Readme!$A$31:$C$131,2)</f>
        <v>Unharmed / Fresh</v>
      </c>
      <c r="G335">
        <f t="shared" si="23"/>
        <v>0</v>
      </c>
    </row>
    <row r="336" spans="2:7">
      <c r="B336">
        <v>120</v>
      </c>
      <c r="C336">
        <f t="shared" si="20"/>
        <v>120</v>
      </c>
      <c r="D336">
        <f t="shared" si="21"/>
        <v>0</v>
      </c>
      <c r="E336" s="2">
        <f t="shared" si="22"/>
        <v>100</v>
      </c>
      <c r="F336" t="str">
        <f>VLOOKUP(E336,Readme!$A$31:$C$131,2)</f>
        <v>Unharmed / Fresh</v>
      </c>
      <c r="G336">
        <f t="shared" si="23"/>
        <v>0</v>
      </c>
    </row>
    <row r="337" spans="2:7">
      <c r="B337">
        <v>120</v>
      </c>
      <c r="C337">
        <f t="shared" si="20"/>
        <v>120</v>
      </c>
      <c r="D337">
        <f t="shared" si="21"/>
        <v>0</v>
      </c>
      <c r="E337" s="2">
        <f t="shared" si="22"/>
        <v>100</v>
      </c>
      <c r="F337" t="str">
        <f>VLOOKUP(E337,Readme!$A$31:$C$131,2)</f>
        <v>Unharmed / Fresh</v>
      </c>
      <c r="G337">
        <f t="shared" si="23"/>
        <v>0</v>
      </c>
    </row>
    <row r="338" spans="2:7">
      <c r="B338">
        <v>120</v>
      </c>
      <c r="C338">
        <f t="shared" si="20"/>
        <v>120</v>
      </c>
      <c r="D338">
        <f t="shared" si="21"/>
        <v>0</v>
      </c>
      <c r="E338" s="2">
        <f t="shared" si="22"/>
        <v>100</v>
      </c>
      <c r="F338" t="str">
        <f>VLOOKUP(E338,Readme!$A$31:$C$131,2)</f>
        <v>Unharmed / Fresh</v>
      </c>
      <c r="G338">
        <f t="shared" si="23"/>
        <v>0</v>
      </c>
    </row>
    <row r="339" spans="2:7">
      <c r="B339">
        <v>120</v>
      </c>
      <c r="C339">
        <f t="shared" si="20"/>
        <v>120</v>
      </c>
      <c r="D339">
        <f t="shared" si="21"/>
        <v>0</v>
      </c>
      <c r="E339" s="2">
        <f t="shared" si="22"/>
        <v>100</v>
      </c>
      <c r="F339" t="str">
        <f>VLOOKUP(E339,Readme!$A$31:$C$131,2)</f>
        <v>Unharmed / Fresh</v>
      </c>
      <c r="G339">
        <f t="shared" si="23"/>
        <v>0</v>
      </c>
    </row>
    <row r="340" spans="2:7">
      <c r="B340">
        <v>120</v>
      </c>
      <c r="C340">
        <f t="shared" si="20"/>
        <v>120</v>
      </c>
      <c r="D340">
        <f t="shared" si="21"/>
        <v>0</v>
      </c>
      <c r="E340" s="2">
        <f t="shared" si="22"/>
        <v>100</v>
      </c>
      <c r="F340" t="str">
        <f>VLOOKUP(E340,Readme!$A$31:$C$131,2)</f>
        <v>Unharmed / Fresh</v>
      </c>
      <c r="G340">
        <f t="shared" si="23"/>
        <v>0</v>
      </c>
    </row>
    <row r="341" spans="2:7">
      <c r="B341">
        <v>120</v>
      </c>
      <c r="C341">
        <f t="shared" si="20"/>
        <v>120</v>
      </c>
      <c r="D341">
        <f t="shared" si="21"/>
        <v>0</v>
      </c>
      <c r="E341" s="2">
        <f t="shared" si="22"/>
        <v>100</v>
      </c>
      <c r="F341" t="str">
        <f>VLOOKUP(E341,Readme!$A$31:$C$131,2)</f>
        <v>Unharmed / Fresh</v>
      </c>
      <c r="G341">
        <f t="shared" si="23"/>
        <v>0</v>
      </c>
    </row>
    <row r="342" spans="2:7">
      <c r="B342">
        <v>120</v>
      </c>
      <c r="C342">
        <f t="shared" si="20"/>
        <v>120</v>
      </c>
      <c r="D342">
        <f t="shared" si="21"/>
        <v>0</v>
      </c>
      <c r="E342" s="2">
        <f t="shared" si="22"/>
        <v>100</v>
      </c>
      <c r="F342" t="str">
        <f>VLOOKUP(E342,Readme!$A$31:$C$131,2)</f>
        <v>Unharmed / Fresh</v>
      </c>
      <c r="G342">
        <f t="shared" si="23"/>
        <v>0</v>
      </c>
    </row>
    <row r="343" spans="2:7">
      <c r="B343">
        <v>120</v>
      </c>
      <c r="C343">
        <f t="shared" si="20"/>
        <v>120</v>
      </c>
      <c r="D343">
        <f t="shared" si="21"/>
        <v>0</v>
      </c>
      <c r="E343" s="2">
        <f t="shared" si="22"/>
        <v>100</v>
      </c>
      <c r="F343" t="str">
        <f>VLOOKUP(E343,Readme!$A$31:$C$131,2)</f>
        <v>Unharmed / Fresh</v>
      </c>
      <c r="G343">
        <f t="shared" si="23"/>
        <v>0</v>
      </c>
    </row>
    <row r="344" spans="2:7">
      <c r="B344">
        <v>120</v>
      </c>
      <c r="C344">
        <f t="shared" si="20"/>
        <v>120</v>
      </c>
      <c r="D344">
        <f t="shared" si="21"/>
        <v>0</v>
      </c>
      <c r="E344" s="2">
        <f t="shared" si="22"/>
        <v>100</v>
      </c>
      <c r="F344" t="str">
        <f>VLOOKUP(E344,Readme!$A$31:$C$131,2)</f>
        <v>Unharmed / Fresh</v>
      </c>
      <c r="G344">
        <f t="shared" si="23"/>
        <v>0</v>
      </c>
    </row>
    <row r="345" spans="2:7">
      <c r="B345">
        <v>120</v>
      </c>
      <c r="C345">
        <f t="shared" si="20"/>
        <v>120</v>
      </c>
      <c r="D345">
        <f t="shared" si="21"/>
        <v>0</v>
      </c>
      <c r="E345" s="2">
        <f t="shared" si="22"/>
        <v>100</v>
      </c>
      <c r="F345" t="str">
        <f>VLOOKUP(E345,Readme!$A$31:$C$131,2)</f>
        <v>Unharmed / Fresh</v>
      </c>
      <c r="G345">
        <f t="shared" si="23"/>
        <v>0</v>
      </c>
    </row>
    <row r="346" spans="2:7">
      <c r="B346">
        <v>120</v>
      </c>
      <c r="C346">
        <f t="shared" si="20"/>
        <v>120</v>
      </c>
      <c r="D346">
        <f t="shared" si="21"/>
        <v>0</v>
      </c>
      <c r="E346" s="2">
        <f t="shared" si="22"/>
        <v>100</v>
      </c>
      <c r="F346" t="str">
        <f>VLOOKUP(E346,Readme!$A$31:$C$131,2)</f>
        <v>Unharmed / Fresh</v>
      </c>
      <c r="G346">
        <f t="shared" si="23"/>
        <v>0</v>
      </c>
    </row>
    <row r="347" spans="2:7">
      <c r="B347">
        <v>120</v>
      </c>
      <c r="C347">
        <f t="shared" si="20"/>
        <v>120</v>
      </c>
      <c r="D347">
        <f t="shared" si="21"/>
        <v>0</v>
      </c>
      <c r="E347" s="2">
        <f t="shared" si="22"/>
        <v>100</v>
      </c>
      <c r="F347" t="str">
        <f>VLOOKUP(E347,Readme!$A$31:$C$131,2)</f>
        <v>Unharmed / Fresh</v>
      </c>
      <c r="G347">
        <f t="shared" si="23"/>
        <v>0</v>
      </c>
    </row>
    <row r="348" spans="2:7">
      <c r="B348">
        <v>120</v>
      </c>
      <c r="C348">
        <f t="shared" si="20"/>
        <v>120</v>
      </c>
      <c r="D348">
        <f t="shared" si="21"/>
        <v>0</v>
      </c>
      <c r="E348" s="2">
        <f t="shared" si="22"/>
        <v>100</v>
      </c>
      <c r="F348" t="str">
        <f>VLOOKUP(E348,Readme!$A$31:$C$131,2)</f>
        <v>Unharmed / Fresh</v>
      </c>
      <c r="G348">
        <f t="shared" si="23"/>
        <v>0</v>
      </c>
    </row>
    <row r="349" spans="2:7">
      <c r="B349">
        <v>120</v>
      </c>
      <c r="C349">
        <f t="shared" si="20"/>
        <v>120</v>
      </c>
      <c r="D349">
        <f t="shared" si="21"/>
        <v>0</v>
      </c>
      <c r="E349" s="2">
        <f t="shared" si="22"/>
        <v>100</v>
      </c>
      <c r="F349" t="str">
        <f>VLOOKUP(E349,Readme!$A$31:$C$131,2)</f>
        <v>Unharmed / Fresh</v>
      </c>
      <c r="G349">
        <f t="shared" si="23"/>
        <v>0</v>
      </c>
    </row>
    <row r="350" spans="2:7">
      <c r="B350">
        <v>120</v>
      </c>
      <c r="C350">
        <f t="shared" si="20"/>
        <v>120</v>
      </c>
      <c r="D350">
        <f t="shared" si="21"/>
        <v>0</v>
      </c>
      <c r="E350" s="2">
        <f t="shared" si="22"/>
        <v>100</v>
      </c>
      <c r="F350" t="str">
        <f>VLOOKUP(E350,Readme!$A$31:$C$131,2)</f>
        <v>Unharmed / Fresh</v>
      </c>
      <c r="G350">
        <f t="shared" si="23"/>
        <v>0</v>
      </c>
    </row>
    <row r="351" spans="2:7">
      <c r="B351">
        <v>120</v>
      </c>
      <c r="C351">
        <f t="shared" si="20"/>
        <v>120</v>
      </c>
      <c r="D351">
        <f t="shared" si="21"/>
        <v>0</v>
      </c>
      <c r="E351" s="2">
        <f t="shared" si="22"/>
        <v>100</v>
      </c>
      <c r="F351" t="str">
        <f>VLOOKUP(E351,Readme!$A$31:$C$131,2)</f>
        <v>Unharmed / Fresh</v>
      </c>
      <c r="G351">
        <f t="shared" si="23"/>
        <v>0</v>
      </c>
    </row>
    <row r="352" spans="2:7">
      <c r="B352">
        <v>120</v>
      </c>
      <c r="C352">
        <f t="shared" si="20"/>
        <v>120</v>
      </c>
      <c r="D352">
        <f t="shared" si="21"/>
        <v>0</v>
      </c>
      <c r="E352" s="2">
        <f t="shared" si="22"/>
        <v>100</v>
      </c>
      <c r="F352" t="str">
        <f>VLOOKUP(E352,Readme!$A$31:$C$131,2)</f>
        <v>Unharmed / Fresh</v>
      </c>
      <c r="G352">
        <f t="shared" si="23"/>
        <v>0</v>
      </c>
    </row>
    <row r="353" spans="2:7">
      <c r="B353">
        <v>120</v>
      </c>
      <c r="C353">
        <f t="shared" si="20"/>
        <v>120</v>
      </c>
      <c r="D353">
        <f t="shared" si="21"/>
        <v>0</v>
      </c>
      <c r="E353" s="2">
        <f t="shared" si="22"/>
        <v>100</v>
      </c>
      <c r="F353" t="str">
        <f>VLOOKUP(E353,Readme!$A$31:$C$131,2)</f>
        <v>Unharmed / Fresh</v>
      </c>
      <c r="G353">
        <f t="shared" si="23"/>
        <v>0</v>
      </c>
    </row>
    <row r="354" spans="2:7">
      <c r="B354">
        <v>120</v>
      </c>
      <c r="C354">
        <f t="shared" si="20"/>
        <v>120</v>
      </c>
      <c r="D354">
        <f t="shared" si="21"/>
        <v>0</v>
      </c>
      <c r="E354" s="2">
        <f t="shared" si="22"/>
        <v>100</v>
      </c>
      <c r="F354" t="str">
        <f>VLOOKUP(E354,Readme!$A$31:$C$131,2)</f>
        <v>Unharmed / Fresh</v>
      </c>
      <c r="G354">
        <f t="shared" si="23"/>
        <v>0</v>
      </c>
    </row>
    <row r="355" spans="2:7">
      <c r="B355">
        <v>120</v>
      </c>
      <c r="C355">
        <f t="shared" si="20"/>
        <v>120</v>
      </c>
      <c r="D355">
        <f t="shared" si="21"/>
        <v>0</v>
      </c>
      <c r="E355" s="2">
        <f t="shared" si="22"/>
        <v>100</v>
      </c>
      <c r="F355" t="str">
        <f>VLOOKUP(E355,Readme!$A$31:$C$131,2)</f>
        <v>Unharmed / Fresh</v>
      </c>
      <c r="G355">
        <f t="shared" si="23"/>
        <v>0</v>
      </c>
    </row>
    <row r="356" spans="2:7">
      <c r="B356">
        <v>120</v>
      </c>
      <c r="C356">
        <f t="shared" si="20"/>
        <v>120</v>
      </c>
      <c r="D356">
        <f t="shared" si="21"/>
        <v>0</v>
      </c>
      <c r="E356" s="2">
        <f t="shared" si="22"/>
        <v>100</v>
      </c>
      <c r="F356" t="str">
        <f>VLOOKUP(E356,Readme!$A$31:$C$131,2)</f>
        <v>Unharmed / Fresh</v>
      </c>
      <c r="G356">
        <f t="shared" si="23"/>
        <v>0</v>
      </c>
    </row>
    <row r="357" spans="2:7">
      <c r="B357">
        <v>120</v>
      </c>
      <c r="C357">
        <f t="shared" si="20"/>
        <v>120</v>
      </c>
      <c r="D357">
        <f t="shared" si="21"/>
        <v>0</v>
      </c>
      <c r="E357" s="2">
        <f t="shared" si="22"/>
        <v>100</v>
      </c>
      <c r="F357" t="str">
        <f>VLOOKUP(E357,Readme!$A$31:$C$131,2)</f>
        <v>Unharmed / Fresh</v>
      </c>
      <c r="G357">
        <f t="shared" si="23"/>
        <v>0</v>
      </c>
    </row>
    <row r="358" spans="2:7">
      <c r="B358">
        <v>120</v>
      </c>
      <c r="C358">
        <f t="shared" si="20"/>
        <v>120</v>
      </c>
      <c r="D358">
        <f t="shared" si="21"/>
        <v>0</v>
      </c>
      <c r="E358" s="2">
        <f t="shared" si="22"/>
        <v>100</v>
      </c>
      <c r="F358" t="str">
        <f>VLOOKUP(E358,Readme!$A$31:$C$131,2)</f>
        <v>Unharmed / Fresh</v>
      </c>
      <c r="G358">
        <f t="shared" si="23"/>
        <v>0</v>
      </c>
    </row>
    <row r="359" spans="2:7">
      <c r="B359">
        <v>120</v>
      </c>
      <c r="C359">
        <f t="shared" si="20"/>
        <v>120</v>
      </c>
      <c r="D359">
        <f t="shared" si="21"/>
        <v>0</v>
      </c>
      <c r="E359" s="2">
        <f t="shared" si="22"/>
        <v>100</v>
      </c>
      <c r="F359" t="str">
        <f>VLOOKUP(E359,Readme!$A$31:$C$131,2)</f>
        <v>Unharmed / Fresh</v>
      </c>
      <c r="G359">
        <f t="shared" si="23"/>
        <v>0</v>
      </c>
    </row>
    <row r="360" spans="2:7">
      <c r="B360">
        <v>120</v>
      </c>
      <c r="C360">
        <f t="shared" si="20"/>
        <v>120</v>
      </c>
      <c r="D360">
        <f t="shared" si="21"/>
        <v>0</v>
      </c>
      <c r="E360" s="2">
        <f t="shared" si="22"/>
        <v>100</v>
      </c>
      <c r="F360" t="str">
        <f>VLOOKUP(E360,Readme!$A$31:$C$131,2)</f>
        <v>Unharmed / Fresh</v>
      </c>
      <c r="G360">
        <f t="shared" si="23"/>
        <v>0</v>
      </c>
    </row>
    <row r="361" spans="2:7">
      <c r="B361">
        <v>120</v>
      </c>
      <c r="C361">
        <f t="shared" si="20"/>
        <v>120</v>
      </c>
      <c r="D361">
        <f t="shared" si="21"/>
        <v>0</v>
      </c>
      <c r="E361" s="2">
        <f t="shared" si="22"/>
        <v>100</v>
      </c>
      <c r="F361" t="str">
        <f>VLOOKUP(E361,Readme!$A$31:$C$131,2)</f>
        <v>Unharmed / Fresh</v>
      </c>
      <c r="G361">
        <f t="shared" si="23"/>
        <v>0</v>
      </c>
    </row>
    <row r="362" spans="2:7">
      <c r="B362">
        <v>120</v>
      </c>
      <c r="C362">
        <f t="shared" si="20"/>
        <v>120</v>
      </c>
      <c r="D362">
        <f t="shared" si="21"/>
        <v>0</v>
      </c>
      <c r="E362" s="2">
        <f t="shared" si="22"/>
        <v>100</v>
      </c>
      <c r="F362" t="str">
        <f>VLOOKUP(E362,Readme!$A$31:$C$131,2)</f>
        <v>Unharmed / Fresh</v>
      </c>
      <c r="G362">
        <f t="shared" si="23"/>
        <v>0</v>
      </c>
    </row>
    <row r="363" spans="2:7">
      <c r="B363">
        <v>120</v>
      </c>
      <c r="C363">
        <f t="shared" si="20"/>
        <v>120</v>
      </c>
      <c r="D363">
        <f t="shared" si="21"/>
        <v>0</v>
      </c>
      <c r="E363" s="2">
        <f t="shared" si="22"/>
        <v>100</v>
      </c>
      <c r="F363" t="str">
        <f>VLOOKUP(E363,Readme!$A$31:$C$131,2)</f>
        <v>Unharmed / Fresh</v>
      </c>
      <c r="G363">
        <f t="shared" si="23"/>
        <v>0</v>
      </c>
    </row>
    <row r="364" spans="2:7">
      <c r="B364">
        <v>120</v>
      </c>
      <c r="C364">
        <f t="shared" si="20"/>
        <v>120</v>
      </c>
      <c r="D364">
        <f t="shared" si="21"/>
        <v>0</v>
      </c>
      <c r="E364" s="2">
        <f t="shared" si="22"/>
        <v>100</v>
      </c>
      <c r="F364" t="str">
        <f>VLOOKUP(E364,Readme!$A$31:$C$131,2)</f>
        <v>Unharmed / Fresh</v>
      </c>
      <c r="G364">
        <f t="shared" si="23"/>
        <v>0</v>
      </c>
    </row>
    <row r="365" spans="2:7">
      <c r="B365">
        <v>120</v>
      </c>
      <c r="C365">
        <f t="shared" si="20"/>
        <v>120</v>
      </c>
      <c r="D365">
        <f t="shared" si="21"/>
        <v>0</v>
      </c>
      <c r="E365" s="2">
        <f t="shared" si="22"/>
        <v>100</v>
      </c>
      <c r="F365" t="str">
        <f>VLOOKUP(E365,Readme!$A$31:$C$131,2)</f>
        <v>Unharmed / Fresh</v>
      </c>
      <c r="G365">
        <f t="shared" si="23"/>
        <v>0</v>
      </c>
    </row>
    <row r="366" spans="2:7">
      <c r="B366">
        <v>120</v>
      </c>
      <c r="C366">
        <f t="shared" si="20"/>
        <v>120</v>
      </c>
      <c r="D366">
        <f t="shared" si="21"/>
        <v>0</v>
      </c>
      <c r="E366" s="2">
        <f t="shared" si="22"/>
        <v>100</v>
      </c>
      <c r="F366" t="str">
        <f>VLOOKUP(E366,Readme!$A$31:$C$131,2)</f>
        <v>Unharmed / Fresh</v>
      </c>
      <c r="G366">
        <f t="shared" si="23"/>
        <v>0</v>
      </c>
    </row>
    <row r="367" spans="2:7">
      <c r="B367">
        <v>120</v>
      </c>
      <c r="C367">
        <f t="shared" si="20"/>
        <v>120</v>
      </c>
      <c r="D367">
        <f t="shared" si="21"/>
        <v>0</v>
      </c>
      <c r="E367" s="2">
        <f t="shared" si="22"/>
        <v>100</v>
      </c>
      <c r="F367" t="str">
        <f>VLOOKUP(E367,Readme!$A$31:$C$131,2)</f>
        <v>Unharmed / Fresh</v>
      </c>
      <c r="G367">
        <f t="shared" si="23"/>
        <v>0</v>
      </c>
    </row>
    <row r="368" spans="2:7">
      <c r="B368">
        <v>120</v>
      </c>
      <c r="C368">
        <f t="shared" si="20"/>
        <v>120</v>
      </c>
      <c r="D368">
        <f t="shared" si="21"/>
        <v>0</v>
      </c>
      <c r="E368" s="2">
        <f t="shared" si="22"/>
        <v>100</v>
      </c>
      <c r="F368" t="str">
        <f>VLOOKUP(E368,Readme!$A$31:$C$131,2)</f>
        <v>Unharmed / Fresh</v>
      </c>
      <c r="G368">
        <f t="shared" si="23"/>
        <v>0</v>
      </c>
    </row>
    <row r="369" spans="2:7">
      <c r="B369">
        <v>120</v>
      </c>
      <c r="C369">
        <f t="shared" si="20"/>
        <v>120</v>
      </c>
      <c r="D369">
        <f t="shared" si="21"/>
        <v>0</v>
      </c>
      <c r="E369" s="2">
        <f t="shared" si="22"/>
        <v>100</v>
      </c>
      <c r="F369" t="str">
        <f>VLOOKUP(E369,Readme!$A$31:$C$131,2)</f>
        <v>Unharmed / Fresh</v>
      </c>
      <c r="G369">
        <f t="shared" si="23"/>
        <v>0</v>
      </c>
    </row>
    <row r="370" spans="2:7">
      <c r="B370">
        <v>120</v>
      </c>
      <c r="C370">
        <f t="shared" si="20"/>
        <v>120</v>
      </c>
      <c r="D370">
        <f t="shared" si="21"/>
        <v>0</v>
      </c>
      <c r="E370" s="2">
        <f t="shared" si="22"/>
        <v>100</v>
      </c>
      <c r="F370" t="str">
        <f>VLOOKUP(E370,Readme!$A$31:$C$131,2)</f>
        <v>Unharmed / Fresh</v>
      </c>
      <c r="G370">
        <f t="shared" si="23"/>
        <v>0</v>
      </c>
    </row>
    <row r="371" spans="2:7">
      <c r="B371">
        <v>120</v>
      </c>
      <c r="C371">
        <f t="shared" si="20"/>
        <v>120</v>
      </c>
      <c r="D371">
        <f t="shared" si="21"/>
        <v>0</v>
      </c>
      <c r="E371" s="2">
        <f t="shared" si="22"/>
        <v>100</v>
      </c>
      <c r="F371" t="str">
        <f>VLOOKUP(E371,Readme!$A$31:$C$131,2)</f>
        <v>Unharmed / Fresh</v>
      </c>
      <c r="G371">
        <f t="shared" si="23"/>
        <v>0</v>
      </c>
    </row>
    <row r="372" spans="2:7">
      <c r="B372">
        <v>120</v>
      </c>
      <c r="C372">
        <f t="shared" si="20"/>
        <v>120</v>
      </c>
      <c r="D372">
        <f t="shared" si="21"/>
        <v>0</v>
      </c>
      <c r="E372" s="2">
        <f t="shared" si="22"/>
        <v>100</v>
      </c>
      <c r="F372" t="str">
        <f>VLOOKUP(E372,Readme!$A$31:$C$131,2)</f>
        <v>Unharmed / Fresh</v>
      </c>
      <c r="G372">
        <f t="shared" si="23"/>
        <v>0</v>
      </c>
    </row>
    <row r="373" spans="2:7">
      <c r="B373">
        <v>120</v>
      </c>
      <c r="C373">
        <f t="shared" si="20"/>
        <v>120</v>
      </c>
      <c r="D373">
        <f t="shared" si="21"/>
        <v>0</v>
      </c>
      <c r="E373" s="2">
        <f t="shared" si="22"/>
        <v>100</v>
      </c>
      <c r="F373" t="str">
        <f>VLOOKUP(E373,Readme!$A$31:$C$131,2)</f>
        <v>Unharmed / Fresh</v>
      </c>
      <c r="G373">
        <f t="shared" si="23"/>
        <v>0</v>
      </c>
    </row>
    <row r="374" spans="2:7">
      <c r="B374">
        <v>120</v>
      </c>
      <c r="C374">
        <f t="shared" si="20"/>
        <v>120</v>
      </c>
      <c r="D374">
        <f t="shared" si="21"/>
        <v>0</v>
      </c>
      <c r="E374" s="2">
        <f t="shared" si="22"/>
        <v>100</v>
      </c>
      <c r="F374" t="str">
        <f>VLOOKUP(E374,Readme!$A$31:$C$131,2)</f>
        <v>Unharmed / Fresh</v>
      </c>
      <c r="G374">
        <f t="shared" si="23"/>
        <v>0</v>
      </c>
    </row>
    <row r="375" spans="2:7">
      <c r="B375">
        <v>120</v>
      </c>
      <c r="C375">
        <f t="shared" si="20"/>
        <v>120</v>
      </c>
      <c r="D375">
        <f t="shared" si="21"/>
        <v>0</v>
      </c>
      <c r="E375" s="2">
        <f t="shared" si="22"/>
        <v>100</v>
      </c>
      <c r="F375" t="str">
        <f>VLOOKUP(E375,Readme!$A$31:$C$131,2)</f>
        <v>Unharmed / Fresh</v>
      </c>
      <c r="G375">
        <f t="shared" si="23"/>
        <v>0</v>
      </c>
    </row>
    <row r="376" spans="2:7">
      <c r="B376">
        <v>120</v>
      </c>
      <c r="C376">
        <f t="shared" si="20"/>
        <v>120</v>
      </c>
      <c r="D376">
        <f t="shared" si="21"/>
        <v>0</v>
      </c>
      <c r="E376" s="2">
        <f t="shared" si="22"/>
        <v>100</v>
      </c>
      <c r="F376" t="str">
        <f>VLOOKUP(E376,Readme!$A$31:$C$131,2)</f>
        <v>Unharmed / Fresh</v>
      </c>
      <c r="G376">
        <f t="shared" si="23"/>
        <v>0</v>
      </c>
    </row>
    <row r="377" spans="2:7">
      <c r="B377">
        <v>120</v>
      </c>
      <c r="C377">
        <f t="shared" si="20"/>
        <v>120</v>
      </c>
      <c r="D377">
        <f t="shared" si="21"/>
        <v>0</v>
      </c>
      <c r="E377" s="2">
        <f t="shared" si="22"/>
        <v>100</v>
      </c>
      <c r="F377" t="str">
        <f>VLOOKUP(E377,Readme!$A$31:$C$131,2)</f>
        <v>Unharmed / Fresh</v>
      </c>
      <c r="G377">
        <f t="shared" si="23"/>
        <v>0</v>
      </c>
    </row>
    <row r="378" spans="2:7">
      <c r="B378">
        <v>120</v>
      </c>
      <c r="C378">
        <f t="shared" si="20"/>
        <v>120</v>
      </c>
      <c r="D378">
        <f t="shared" si="21"/>
        <v>0</v>
      </c>
      <c r="E378" s="2">
        <f t="shared" si="22"/>
        <v>100</v>
      </c>
      <c r="F378" t="str">
        <f>VLOOKUP(E378,Readme!$A$31:$C$131,2)</f>
        <v>Unharmed / Fresh</v>
      </c>
      <c r="G378">
        <f t="shared" si="23"/>
        <v>0</v>
      </c>
    </row>
    <row r="379" spans="2:7">
      <c r="B379">
        <v>120</v>
      </c>
      <c r="C379">
        <f t="shared" si="20"/>
        <v>120</v>
      </c>
      <c r="D379">
        <f t="shared" si="21"/>
        <v>0</v>
      </c>
      <c r="E379" s="2">
        <f t="shared" si="22"/>
        <v>100</v>
      </c>
      <c r="F379" t="str">
        <f>VLOOKUP(E379,Readme!$A$31:$C$131,2)</f>
        <v>Unharmed / Fresh</v>
      </c>
      <c r="G379">
        <f t="shared" si="23"/>
        <v>0</v>
      </c>
    </row>
    <row r="380" spans="2:7">
      <c r="B380">
        <v>120</v>
      </c>
      <c r="C380">
        <f t="shared" si="20"/>
        <v>120</v>
      </c>
      <c r="D380">
        <f t="shared" si="21"/>
        <v>0</v>
      </c>
      <c r="E380" s="2">
        <f t="shared" si="22"/>
        <v>100</v>
      </c>
      <c r="F380" t="str">
        <f>VLOOKUP(E380,Readme!$A$31:$C$131,2)</f>
        <v>Unharmed / Fresh</v>
      </c>
      <c r="G380">
        <f t="shared" si="23"/>
        <v>0</v>
      </c>
    </row>
    <row r="381" spans="2:7">
      <c r="B381">
        <v>120</v>
      </c>
      <c r="C381">
        <f t="shared" si="20"/>
        <v>120</v>
      </c>
      <c r="D381">
        <f t="shared" si="21"/>
        <v>0</v>
      </c>
      <c r="E381" s="2">
        <f t="shared" si="22"/>
        <v>100</v>
      </c>
      <c r="F381" t="str">
        <f>VLOOKUP(E381,Readme!$A$31:$C$131,2)</f>
        <v>Unharmed / Fresh</v>
      </c>
      <c r="G381">
        <f t="shared" si="23"/>
        <v>0</v>
      </c>
    </row>
    <row r="382" spans="2:7">
      <c r="B382">
        <v>120</v>
      </c>
      <c r="C382">
        <f t="shared" si="20"/>
        <v>120</v>
      </c>
      <c r="D382">
        <f t="shared" si="21"/>
        <v>0</v>
      </c>
      <c r="E382" s="2">
        <f t="shared" si="22"/>
        <v>100</v>
      </c>
      <c r="F382" t="str">
        <f>VLOOKUP(E382,Readme!$A$31:$C$131,2)</f>
        <v>Unharmed / Fresh</v>
      </c>
      <c r="G382">
        <f t="shared" si="23"/>
        <v>0</v>
      </c>
    </row>
    <row r="383" spans="2:7">
      <c r="B383">
        <v>120</v>
      </c>
      <c r="C383">
        <f t="shared" si="20"/>
        <v>120</v>
      </c>
      <c r="D383">
        <f t="shared" si="21"/>
        <v>0</v>
      </c>
      <c r="E383" s="2">
        <f t="shared" si="22"/>
        <v>100</v>
      </c>
      <c r="F383" t="str">
        <f>VLOOKUP(E383,Readme!$A$31:$C$131,2)</f>
        <v>Unharmed / Fresh</v>
      </c>
      <c r="G383">
        <f t="shared" si="23"/>
        <v>0</v>
      </c>
    </row>
    <row r="384" spans="2:7">
      <c r="B384">
        <v>120</v>
      </c>
      <c r="C384">
        <f t="shared" si="20"/>
        <v>120</v>
      </c>
      <c r="D384">
        <f t="shared" si="21"/>
        <v>0</v>
      </c>
      <c r="E384" s="2">
        <f t="shared" si="22"/>
        <v>100</v>
      </c>
      <c r="F384" t="str">
        <f>VLOOKUP(E384,Readme!$A$31:$C$131,2)</f>
        <v>Unharmed / Fresh</v>
      </c>
      <c r="G384">
        <f t="shared" si="23"/>
        <v>0</v>
      </c>
    </row>
    <row r="385" spans="2:7">
      <c r="B385">
        <v>120</v>
      </c>
      <c r="C385">
        <f t="shared" si="20"/>
        <v>120</v>
      </c>
      <c r="D385">
        <f t="shared" si="21"/>
        <v>0</v>
      </c>
      <c r="E385" s="2">
        <f t="shared" si="22"/>
        <v>100</v>
      </c>
      <c r="F385" t="str">
        <f>VLOOKUP(E385,Readme!$A$31:$C$131,2)</f>
        <v>Unharmed / Fresh</v>
      </c>
      <c r="G385">
        <f t="shared" si="23"/>
        <v>0</v>
      </c>
    </row>
    <row r="386" spans="2:7">
      <c r="B386">
        <v>120</v>
      </c>
      <c r="C386">
        <f t="shared" si="20"/>
        <v>120</v>
      </c>
      <c r="D386">
        <f t="shared" si="21"/>
        <v>0</v>
      </c>
      <c r="E386" s="2">
        <f t="shared" si="22"/>
        <v>100</v>
      </c>
      <c r="F386" t="str">
        <f>VLOOKUP(E386,Readme!$A$31:$C$131,2)</f>
        <v>Unharmed / Fresh</v>
      </c>
      <c r="G386">
        <f t="shared" si="23"/>
        <v>0</v>
      </c>
    </row>
    <row r="387" spans="2:7">
      <c r="B387">
        <v>120</v>
      </c>
      <c r="C387">
        <f t="shared" ref="C387:C450" si="24">B387-G387</f>
        <v>120</v>
      </c>
      <c r="D387">
        <f t="shared" ref="D387:D450" si="25">B387-C387</f>
        <v>0</v>
      </c>
      <c r="E387" s="2">
        <f t="shared" ref="E387:E450" si="26">(C387/B387)*100</f>
        <v>100</v>
      </c>
      <c r="F387" t="str">
        <f>VLOOKUP(E387,Readme!$A$31:$C$131,2)</f>
        <v>Unharmed / Fresh</v>
      </c>
      <c r="G387">
        <f t="shared" ref="G387:G450" si="27">SUM(H387:FY387)</f>
        <v>0</v>
      </c>
    </row>
    <row r="388" spans="2:7">
      <c r="B388">
        <v>120</v>
      </c>
      <c r="C388">
        <f t="shared" si="24"/>
        <v>120</v>
      </c>
      <c r="D388">
        <f t="shared" si="25"/>
        <v>0</v>
      </c>
      <c r="E388" s="2">
        <f t="shared" si="26"/>
        <v>100</v>
      </c>
      <c r="F388" t="str">
        <f>VLOOKUP(E388,Readme!$A$31:$C$131,2)</f>
        <v>Unharmed / Fresh</v>
      </c>
      <c r="G388">
        <f t="shared" si="27"/>
        <v>0</v>
      </c>
    </row>
    <row r="389" spans="2:7">
      <c r="B389">
        <v>120</v>
      </c>
      <c r="C389">
        <f t="shared" si="24"/>
        <v>120</v>
      </c>
      <c r="D389">
        <f t="shared" si="25"/>
        <v>0</v>
      </c>
      <c r="E389" s="2">
        <f t="shared" si="26"/>
        <v>100</v>
      </c>
      <c r="F389" t="str">
        <f>VLOOKUP(E389,Readme!$A$31:$C$131,2)</f>
        <v>Unharmed / Fresh</v>
      </c>
      <c r="G389">
        <f t="shared" si="27"/>
        <v>0</v>
      </c>
    </row>
    <row r="390" spans="2:7">
      <c r="B390">
        <v>120</v>
      </c>
      <c r="C390">
        <f t="shared" si="24"/>
        <v>120</v>
      </c>
      <c r="D390">
        <f t="shared" si="25"/>
        <v>0</v>
      </c>
      <c r="E390" s="2">
        <f t="shared" si="26"/>
        <v>100</v>
      </c>
      <c r="F390" t="str">
        <f>VLOOKUP(E390,Readme!$A$31:$C$131,2)</f>
        <v>Unharmed / Fresh</v>
      </c>
      <c r="G390">
        <f t="shared" si="27"/>
        <v>0</v>
      </c>
    </row>
    <row r="391" spans="2:7">
      <c r="B391">
        <v>120</v>
      </c>
      <c r="C391">
        <f t="shared" si="24"/>
        <v>120</v>
      </c>
      <c r="D391">
        <f t="shared" si="25"/>
        <v>0</v>
      </c>
      <c r="E391" s="2">
        <f t="shared" si="26"/>
        <v>100</v>
      </c>
      <c r="F391" t="str">
        <f>VLOOKUP(E391,Readme!$A$31:$C$131,2)</f>
        <v>Unharmed / Fresh</v>
      </c>
      <c r="G391">
        <f t="shared" si="27"/>
        <v>0</v>
      </c>
    </row>
    <row r="392" spans="2:7">
      <c r="B392">
        <v>120</v>
      </c>
      <c r="C392">
        <f t="shared" si="24"/>
        <v>120</v>
      </c>
      <c r="D392">
        <f t="shared" si="25"/>
        <v>0</v>
      </c>
      <c r="E392" s="2">
        <f t="shared" si="26"/>
        <v>100</v>
      </c>
      <c r="F392" t="str">
        <f>VLOOKUP(E392,Readme!$A$31:$C$131,2)</f>
        <v>Unharmed / Fresh</v>
      </c>
      <c r="G392">
        <f t="shared" si="27"/>
        <v>0</v>
      </c>
    </row>
    <row r="393" spans="2:7">
      <c r="B393">
        <v>120</v>
      </c>
      <c r="C393">
        <f t="shared" si="24"/>
        <v>120</v>
      </c>
      <c r="D393">
        <f t="shared" si="25"/>
        <v>0</v>
      </c>
      <c r="E393" s="2">
        <f t="shared" si="26"/>
        <v>100</v>
      </c>
      <c r="F393" t="str">
        <f>VLOOKUP(E393,Readme!$A$31:$C$131,2)</f>
        <v>Unharmed / Fresh</v>
      </c>
      <c r="G393">
        <f t="shared" si="27"/>
        <v>0</v>
      </c>
    </row>
    <row r="394" spans="2:7">
      <c r="B394">
        <v>120</v>
      </c>
      <c r="C394">
        <f t="shared" si="24"/>
        <v>120</v>
      </c>
      <c r="D394">
        <f t="shared" si="25"/>
        <v>0</v>
      </c>
      <c r="E394" s="2">
        <f t="shared" si="26"/>
        <v>100</v>
      </c>
      <c r="F394" t="str">
        <f>VLOOKUP(E394,Readme!$A$31:$C$131,2)</f>
        <v>Unharmed / Fresh</v>
      </c>
      <c r="G394">
        <f t="shared" si="27"/>
        <v>0</v>
      </c>
    </row>
    <row r="395" spans="2:7">
      <c r="B395">
        <v>120</v>
      </c>
      <c r="C395">
        <f t="shared" si="24"/>
        <v>120</v>
      </c>
      <c r="D395">
        <f t="shared" si="25"/>
        <v>0</v>
      </c>
      <c r="E395" s="2">
        <f t="shared" si="26"/>
        <v>100</v>
      </c>
      <c r="F395" t="str">
        <f>VLOOKUP(E395,Readme!$A$31:$C$131,2)</f>
        <v>Unharmed / Fresh</v>
      </c>
      <c r="G395">
        <f t="shared" si="27"/>
        <v>0</v>
      </c>
    </row>
    <row r="396" spans="2:7">
      <c r="B396">
        <v>120</v>
      </c>
      <c r="C396">
        <f t="shared" si="24"/>
        <v>120</v>
      </c>
      <c r="D396">
        <f t="shared" si="25"/>
        <v>0</v>
      </c>
      <c r="E396" s="2">
        <f t="shared" si="26"/>
        <v>100</v>
      </c>
      <c r="F396" t="str">
        <f>VLOOKUP(E396,Readme!$A$31:$C$131,2)</f>
        <v>Unharmed / Fresh</v>
      </c>
      <c r="G396">
        <f t="shared" si="27"/>
        <v>0</v>
      </c>
    </row>
    <row r="397" spans="2:7">
      <c r="B397">
        <v>120</v>
      </c>
      <c r="C397">
        <f t="shared" si="24"/>
        <v>120</v>
      </c>
      <c r="D397">
        <f t="shared" si="25"/>
        <v>0</v>
      </c>
      <c r="E397" s="2">
        <f t="shared" si="26"/>
        <v>100</v>
      </c>
      <c r="F397" t="str">
        <f>VLOOKUP(E397,Readme!$A$31:$C$131,2)</f>
        <v>Unharmed / Fresh</v>
      </c>
      <c r="G397">
        <f t="shared" si="27"/>
        <v>0</v>
      </c>
    </row>
    <row r="398" spans="2:7">
      <c r="B398">
        <v>120</v>
      </c>
      <c r="C398">
        <f t="shared" si="24"/>
        <v>120</v>
      </c>
      <c r="D398">
        <f t="shared" si="25"/>
        <v>0</v>
      </c>
      <c r="E398" s="2">
        <f t="shared" si="26"/>
        <v>100</v>
      </c>
      <c r="F398" t="str">
        <f>VLOOKUP(E398,Readme!$A$31:$C$131,2)</f>
        <v>Unharmed / Fresh</v>
      </c>
      <c r="G398">
        <f t="shared" si="27"/>
        <v>0</v>
      </c>
    </row>
    <row r="399" spans="2:7">
      <c r="B399">
        <v>120</v>
      </c>
      <c r="C399">
        <f t="shared" si="24"/>
        <v>120</v>
      </c>
      <c r="D399">
        <f t="shared" si="25"/>
        <v>0</v>
      </c>
      <c r="E399" s="2">
        <f t="shared" si="26"/>
        <v>100</v>
      </c>
      <c r="F399" t="str">
        <f>VLOOKUP(E399,Readme!$A$31:$C$131,2)</f>
        <v>Unharmed / Fresh</v>
      </c>
      <c r="G399">
        <f t="shared" si="27"/>
        <v>0</v>
      </c>
    </row>
    <row r="400" spans="2:7">
      <c r="B400">
        <v>120</v>
      </c>
      <c r="C400">
        <f t="shared" si="24"/>
        <v>120</v>
      </c>
      <c r="D400">
        <f t="shared" si="25"/>
        <v>0</v>
      </c>
      <c r="E400" s="2">
        <f t="shared" si="26"/>
        <v>100</v>
      </c>
      <c r="F400" t="str">
        <f>VLOOKUP(E400,Readme!$A$31:$C$131,2)</f>
        <v>Unharmed / Fresh</v>
      </c>
      <c r="G400">
        <f t="shared" si="27"/>
        <v>0</v>
      </c>
    </row>
    <row r="401" spans="2:7">
      <c r="B401">
        <v>120</v>
      </c>
      <c r="C401">
        <f t="shared" si="24"/>
        <v>120</v>
      </c>
      <c r="D401">
        <f t="shared" si="25"/>
        <v>0</v>
      </c>
      <c r="E401" s="2">
        <f t="shared" si="26"/>
        <v>100</v>
      </c>
      <c r="F401" t="str">
        <f>VLOOKUP(E401,Readme!$A$31:$C$131,2)</f>
        <v>Unharmed / Fresh</v>
      </c>
      <c r="G401">
        <f t="shared" si="27"/>
        <v>0</v>
      </c>
    </row>
    <row r="402" spans="2:7">
      <c r="B402">
        <v>120</v>
      </c>
      <c r="C402">
        <f t="shared" si="24"/>
        <v>120</v>
      </c>
      <c r="D402">
        <f t="shared" si="25"/>
        <v>0</v>
      </c>
      <c r="E402" s="2">
        <f t="shared" si="26"/>
        <v>100</v>
      </c>
      <c r="F402" t="str">
        <f>VLOOKUP(E402,Readme!$A$31:$C$131,2)</f>
        <v>Unharmed / Fresh</v>
      </c>
      <c r="G402">
        <f t="shared" si="27"/>
        <v>0</v>
      </c>
    </row>
    <row r="403" spans="2:7">
      <c r="B403">
        <v>120</v>
      </c>
      <c r="C403">
        <f t="shared" si="24"/>
        <v>120</v>
      </c>
      <c r="D403">
        <f t="shared" si="25"/>
        <v>0</v>
      </c>
      <c r="E403" s="2">
        <f t="shared" si="26"/>
        <v>100</v>
      </c>
      <c r="F403" t="str">
        <f>VLOOKUP(E403,Readme!$A$31:$C$131,2)</f>
        <v>Unharmed / Fresh</v>
      </c>
      <c r="G403">
        <f t="shared" si="27"/>
        <v>0</v>
      </c>
    </row>
    <row r="404" spans="2:7">
      <c r="B404">
        <v>120</v>
      </c>
      <c r="C404">
        <f t="shared" si="24"/>
        <v>120</v>
      </c>
      <c r="D404">
        <f t="shared" si="25"/>
        <v>0</v>
      </c>
      <c r="E404" s="2">
        <f t="shared" si="26"/>
        <v>100</v>
      </c>
      <c r="F404" t="str">
        <f>VLOOKUP(E404,Readme!$A$31:$C$131,2)</f>
        <v>Unharmed / Fresh</v>
      </c>
      <c r="G404">
        <f t="shared" si="27"/>
        <v>0</v>
      </c>
    </row>
    <row r="405" spans="2:7">
      <c r="B405">
        <v>120</v>
      </c>
      <c r="C405">
        <f t="shared" si="24"/>
        <v>120</v>
      </c>
      <c r="D405">
        <f t="shared" si="25"/>
        <v>0</v>
      </c>
      <c r="E405" s="2">
        <f t="shared" si="26"/>
        <v>100</v>
      </c>
      <c r="F405" t="str">
        <f>VLOOKUP(E405,Readme!$A$31:$C$131,2)</f>
        <v>Unharmed / Fresh</v>
      </c>
      <c r="G405">
        <f t="shared" si="27"/>
        <v>0</v>
      </c>
    </row>
    <row r="406" spans="2:7">
      <c r="B406">
        <v>120</v>
      </c>
      <c r="C406">
        <f t="shared" si="24"/>
        <v>120</v>
      </c>
      <c r="D406">
        <f t="shared" si="25"/>
        <v>0</v>
      </c>
      <c r="E406" s="2">
        <f t="shared" si="26"/>
        <v>100</v>
      </c>
      <c r="F406" t="str">
        <f>VLOOKUP(E406,Readme!$A$31:$C$131,2)</f>
        <v>Unharmed / Fresh</v>
      </c>
      <c r="G406">
        <f t="shared" si="27"/>
        <v>0</v>
      </c>
    </row>
    <row r="407" spans="2:7">
      <c r="B407">
        <v>120</v>
      </c>
      <c r="C407">
        <f t="shared" si="24"/>
        <v>120</v>
      </c>
      <c r="D407">
        <f t="shared" si="25"/>
        <v>0</v>
      </c>
      <c r="E407" s="2">
        <f t="shared" si="26"/>
        <v>100</v>
      </c>
      <c r="F407" t="str">
        <f>VLOOKUP(E407,Readme!$A$31:$C$131,2)</f>
        <v>Unharmed / Fresh</v>
      </c>
      <c r="G407">
        <f t="shared" si="27"/>
        <v>0</v>
      </c>
    </row>
    <row r="408" spans="2:7">
      <c r="B408">
        <v>120</v>
      </c>
      <c r="C408">
        <f t="shared" si="24"/>
        <v>120</v>
      </c>
      <c r="D408">
        <f t="shared" si="25"/>
        <v>0</v>
      </c>
      <c r="E408" s="2">
        <f t="shared" si="26"/>
        <v>100</v>
      </c>
      <c r="F408" t="str">
        <f>VLOOKUP(E408,Readme!$A$31:$C$131,2)</f>
        <v>Unharmed / Fresh</v>
      </c>
      <c r="G408">
        <f t="shared" si="27"/>
        <v>0</v>
      </c>
    </row>
    <row r="409" spans="2:7">
      <c r="B409">
        <v>120</v>
      </c>
      <c r="C409">
        <f t="shared" si="24"/>
        <v>120</v>
      </c>
      <c r="D409">
        <f t="shared" si="25"/>
        <v>0</v>
      </c>
      <c r="E409" s="2">
        <f t="shared" si="26"/>
        <v>100</v>
      </c>
      <c r="F409" t="str">
        <f>VLOOKUP(E409,Readme!$A$31:$C$131,2)</f>
        <v>Unharmed / Fresh</v>
      </c>
      <c r="G409">
        <f t="shared" si="27"/>
        <v>0</v>
      </c>
    </row>
    <row r="410" spans="2:7">
      <c r="B410">
        <v>120</v>
      </c>
      <c r="C410">
        <f t="shared" si="24"/>
        <v>120</v>
      </c>
      <c r="D410">
        <f t="shared" si="25"/>
        <v>0</v>
      </c>
      <c r="E410" s="2">
        <f t="shared" si="26"/>
        <v>100</v>
      </c>
      <c r="F410" t="str">
        <f>VLOOKUP(E410,Readme!$A$31:$C$131,2)</f>
        <v>Unharmed / Fresh</v>
      </c>
      <c r="G410">
        <f t="shared" si="27"/>
        <v>0</v>
      </c>
    </row>
    <row r="411" spans="2:7">
      <c r="B411">
        <v>120</v>
      </c>
      <c r="C411">
        <f t="shared" si="24"/>
        <v>120</v>
      </c>
      <c r="D411">
        <f t="shared" si="25"/>
        <v>0</v>
      </c>
      <c r="E411" s="2">
        <f t="shared" si="26"/>
        <v>100</v>
      </c>
      <c r="F411" t="str">
        <f>VLOOKUP(E411,Readme!$A$31:$C$131,2)</f>
        <v>Unharmed / Fresh</v>
      </c>
      <c r="G411">
        <f t="shared" si="27"/>
        <v>0</v>
      </c>
    </row>
    <row r="412" spans="2:7">
      <c r="B412">
        <v>120</v>
      </c>
      <c r="C412">
        <f t="shared" si="24"/>
        <v>120</v>
      </c>
      <c r="D412">
        <f t="shared" si="25"/>
        <v>0</v>
      </c>
      <c r="E412" s="2">
        <f t="shared" si="26"/>
        <v>100</v>
      </c>
      <c r="F412" t="str">
        <f>VLOOKUP(E412,Readme!$A$31:$C$131,2)</f>
        <v>Unharmed / Fresh</v>
      </c>
      <c r="G412">
        <f t="shared" si="27"/>
        <v>0</v>
      </c>
    </row>
    <row r="413" spans="2:7">
      <c r="B413">
        <v>120</v>
      </c>
      <c r="C413">
        <f t="shared" si="24"/>
        <v>120</v>
      </c>
      <c r="D413">
        <f t="shared" si="25"/>
        <v>0</v>
      </c>
      <c r="E413" s="2">
        <f t="shared" si="26"/>
        <v>100</v>
      </c>
      <c r="F413" t="str">
        <f>VLOOKUP(E413,Readme!$A$31:$C$131,2)</f>
        <v>Unharmed / Fresh</v>
      </c>
      <c r="G413">
        <f t="shared" si="27"/>
        <v>0</v>
      </c>
    </row>
    <row r="414" spans="2:7">
      <c r="B414">
        <v>120</v>
      </c>
      <c r="C414">
        <f t="shared" si="24"/>
        <v>120</v>
      </c>
      <c r="D414">
        <f t="shared" si="25"/>
        <v>0</v>
      </c>
      <c r="E414" s="2">
        <f t="shared" si="26"/>
        <v>100</v>
      </c>
      <c r="F414" t="str">
        <f>VLOOKUP(E414,Readme!$A$31:$C$131,2)</f>
        <v>Unharmed / Fresh</v>
      </c>
      <c r="G414">
        <f t="shared" si="27"/>
        <v>0</v>
      </c>
    </row>
    <row r="415" spans="2:7">
      <c r="B415">
        <v>120</v>
      </c>
      <c r="C415">
        <f t="shared" si="24"/>
        <v>120</v>
      </c>
      <c r="D415">
        <f t="shared" si="25"/>
        <v>0</v>
      </c>
      <c r="E415" s="2">
        <f t="shared" si="26"/>
        <v>100</v>
      </c>
      <c r="F415" t="str">
        <f>VLOOKUP(E415,Readme!$A$31:$C$131,2)</f>
        <v>Unharmed / Fresh</v>
      </c>
      <c r="G415">
        <f t="shared" si="27"/>
        <v>0</v>
      </c>
    </row>
    <row r="416" spans="2:7">
      <c r="B416">
        <v>120</v>
      </c>
      <c r="C416">
        <f t="shared" si="24"/>
        <v>120</v>
      </c>
      <c r="D416">
        <f t="shared" si="25"/>
        <v>0</v>
      </c>
      <c r="E416" s="2">
        <f t="shared" si="26"/>
        <v>100</v>
      </c>
      <c r="F416" t="str">
        <f>VLOOKUP(E416,Readme!$A$31:$C$131,2)</f>
        <v>Unharmed / Fresh</v>
      </c>
      <c r="G416">
        <f t="shared" si="27"/>
        <v>0</v>
      </c>
    </row>
    <row r="417" spans="2:7">
      <c r="B417">
        <v>120</v>
      </c>
      <c r="C417">
        <f t="shared" si="24"/>
        <v>120</v>
      </c>
      <c r="D417">
        <f t="shared" si="25"/>
        <v>0</v>
      </c>
      <c r="E417" s="2">
        <f t="shared" si="26"/>
        <v>100</v>
      </c>
      <c r="F417" t="str">
        <f>VLOOKUP(E417,Readme!$A$31:$C$131,2)</f>
        <v>Unharmed / Fresh</v>
      </c>
      <c r="G417">
        <f t="shared" si="27"/>
        <v>0</v>
      </c>
    </row>
    <row r="418" spans="2:7">
      <c r="B418">
        <v>120</v>
      </c>
      <c r="C418">
        <f t="shared" si="24"/>
        <v>120</v>
      </c>
      <c r="D418">
        <f t="shared" si="25"/>
        <v>0</v>
      </c>
      <c r="E418" s="2">
        <f t="shared" si="26"/>
        <v>100</v>
      </c>
      <c r="F418" t="str">
        <f>VLOOKUP(E418,Readme!$A$31:$C$131,2)</f>
        <v>Unharmed / Fresh</v>
      </c>
      <c r="G418">
        <f t="shared" si="27"/>
        <v>0</v>
      </c>
    </row>
    <row r="419" spans="2:7">
      <c r="B419">
        <v>120</v>
      </c>
      <c r="C419">
        <f t="shared" si="24"/>
        <v>120</v>
      </c>
      <c r="D419">
        <f t="shared" si="25"/>
        <v>0</v>
      </c>
      <c r="E419" s="2">
        <f t="shared" si="26"/>
        <v>100</v>
      </c>
      <c r="F419" t="str">
        <f>VLOOKUP(E419,Readme!$A$31:$C$131,2)</f>
        <v>Unharmed / Fresh</v>
      </c>
      <c r="G419">
        <f t="shared" si="27"/>
        <v>0</v>
      </c>
    </row>
    <row r="420" spans="2:7">
      <c r="B420">
        <v>120</v>
      </c>
      <c r="C420">
        <f t="shared" si="24"/>
        <v>120</v>
      </c>
      <c r="D420">
        <f t="shared" si="25"/>
        <v>0</v>
      </c>
      <c r="E420" s="2">
        <f t="shared" si="26"/>
        <v>100</v>
      </c>
      <c r="F420" t="str">
        <f>VLOOKUP(E420,Readme!$A$31:$C$131,2)</f>
        <v>Unharmed / Fresh</v>
      </c>
      <c r="G420">
        <f t="shared" si="27"/>
        <v>0</v>
      </c>
    </row>
    <row r="421" spans="2:7">
      <c r="B421">
        <v>120</v>
      </c>
      <c r="C421">
        <f t="shared" si="24"/>
        <v>120</v>
      </c>
      <c r="D421">
        <f t="shared" si="25"/>
        <v>0</v>
      </c>
      <c r="E421" s="2">
        <f t="shared" si="26"/>
        <v>100</v>
      </c>
      <c r="F421" t="str">
        <f>VLOOKUP(E421,Readme!$A$31:$C$131,2)</f>
        <v>Unharmed / Fresh</v>
      </c>
      <c r="G421">
        <f t="shared" si="27"/>
        <v>0</v>
      </c>
    </row>
    <row r="422" spans="2:7">
      <c r="B422">
        <v>120</v>
      </c>
      <c r="C422">
        <f t="shared" si="24"/>
        <v>120</v>
      </c>
      <c r="D422">
        <f t="shared" si="25"/>
        <v>0</v>
      </c>
      <c r="E422" s="2">
        <f t="shared" si="26"/>
        <v>100</v>
      </c>
      <c r="F422" t="str">
        <f>VLOOKUP(E422,Readme!$A$31:$C$131,2)</f>
        <v>Unharmed / Fresh</v>
      </c>
      <c r="G422">
        <f t="shared" si="27"/>
        <v>0</v>
      </c>
    </row>
    <row r="423" spans="2:7">
      <c r="B423">
        <v>120</v>
      </c>
      <c r="C423">
        <f t="shared" si="24"/>
        <v>120</v>
      </c>
      <c r="D423">
        <f t="shared" si="25"/>
        <v>0</v>
      </c>
      <c r="E423" s="2">
        <f t="shared" si="26"/>
        <v>100</v>
      </c>
      <c r="F423" t="str">
        <f>VLOOKUP(E423,Readme!$A$31:$C$131,2)</f>
        <v>Unharmed / Fresh</v>
      </c>
      <c r="G423">
        <f t="shared" si="27"/>
        <v>0</v>
      </c>
    </row>
    <row r="424" spans="2:7">
      <c r="B424">
        <v>120</v>
      </c>
      <c r="C424">
        <f t="shared" si="24"/>
        <v>120</v>
      </c>
      <c r="D424">
        <f t="shared" si="25"/>
        <v>0</v>
      </c>
      <c r="E424" s="2">
        <f t="shared" si="26"/>
        <v>100</v>
      </c>
      <c r="F424" t="str">
        <f>VLOOKUP(E424,Readme!$A$31:$C$131,2)</f>
        <v>Unharmed / Fresh</v>
      </c>
      <c r="G424">
        <f t="shared" si="27"/>
        <v>0</v>
      </c>
    </row>
    <row r="425" spans="2:7">
      <c r="B425">
        <v>120</v>
      </c>
      <c r="C425">
        <f t="shared" si="24"/>
        <v>120</v>
      </c>
      <c r="D425">
        <f t="shared" si="25"/>
        <v>0</v>
      </c>
      <c r="E425" s="2">
        <f t="shared" si="26"/>
        <v>100</v>
      </c>
      <c r="F425" t="str">
        <f>VLOOKUP(E425,Readme!$A$31:$C$131,2)</f>
        <v>Unharmed / Fresh</v>
      </c>
      <c r="G425">
        <f t="shared" si="27"/>
        <v>0</v>
      </c>
    </row>
    <row r="426" spans="2:7">
      <c r="B426">
        <v>120</v>
      </c>
      <c r="C426">
        <f t="shared" si="24"/>
        <v>120</v>
      </c>
      <c r="D426">
        <f t="shared" si="25"/>
        <v>0</v>
      </c>
      <c r="E426" s="2">
        <f t="shared" si="26"/>
        <v>100</v>
      </c>
      <c r="F426" t="str">
        <f>VLOOKUP(E426,Readme!$A$31:$C$131,2)</f>
        <v>Unharmed / Fresh</v>
      </c>
      <c r="G426">
        <f t="shared" si="27"/>
        <v>0</v>
      </c>
    </row>
    <row r="427" spans="2:7">
      <c r="B427">
        <v>120</v>
      </c>
      <c r="C427">
        <f t="shared" si="24"/>
        <v>120</v>
      </c>
      <c r="D427">
        <f t="shared" si="25"/>
        <v>0</v>
      </c>
      <c r="E427" s="2">
        <f t="shared" si="26"/>
        <v>100</v>
      </c>
      <c r="F427" t="str">
        <f>VLOOKUP(E427,Readme!$A$31:$C$131,2)</f>
        <v>Unharmed / Fresh</v>
      </c>
      <c r="G427">
        <f t="shared" si="27"/>
        <v>0</v>
      </c>
    </row>
    <row r="428" spans="2:7">
      <c r="B428">
        <v>120</v>
      </c>
      <c r="C428">
        <f t="shared" si="24"/>
        <v>120</v>
      </c>
      <c r="D428">
        <f t="shared" si="25"/>
        <v>0</v>
      </c>
      <c r="E428" s="2">
        <f t="shared" si="26"/>
        <v>100</v>
      </c>
      <c r="F428" t="str">
        <f>VLOOKUP(E428,Readme!$A$31:$C$131,2)</f>
        <v>Unharmed / Fresh</v>
      </c>
      <c r="G428">
        <f t="shared" si="27"/>
        <v>0</v>
      </c>
    </row>
    <row r="429" spans="2:7">
      <c r="B429">
        <v>120</v>
      </c>
      <c r="C429">
        <f t="shared" si="24"/>
        <v>120</v>
      </c>
      <c r="D429">
        <f t="shared" si="25"/>
        <v>0</v>
      </c>
      <c r="E429" s="2">
        <f t="shared" si="26"/>
        <v>100</v>
      </c>
      <c r="F429" t="str">
        <f>VLOOKUP(E429,Readme!$A$31:$C$131,2)</f>
        <v>Unharmed / Fresh</v>
      </c>
      <c r="G429">
        <f t="shared" si="27"/>
        <v>0</v>
      </c>
    </row>
    <row r="430" spans="2:7">
      <c r="B430">
        <v>120</v>
      </c>
      <c r="C430">
        <f t="shared" si="24"/>
        <v>120</v>
      </c>
      <c r="D430">
        <f t="shared" si="25"/>
        <v>0</v>
      </c>
      <c r="E430" s="2">
        <f t="shared" si="26"/>
        <v>100</v>
      </c>
      <c r="F430" t="str">
        <f>VLOOKUP(E430,Readme!$A$31:$C$131,2)</f>
        <v>Unharmed / Fresh</v>
      </c>
      <c r="G430">
        <f t="shared" si="27"/>
        <v>0</v>
      </c>
    </row>
    <row r="431" spans="2:7">
      <c r="B431">
        <v>120</v>
      </c>
      <c r="C431">
        <f t="shared" si="24"/>
        <v>120</v>
      </c>
      <c r="D431">
        <f t="shared" si="25"/>
        <v>0</v>
      </c>
      <c r="E431" s="2">
        <f t="shared" si="26"/>
        <v>100</v>
      </c>
      <c r="F431" t="str">
        <f>VLOOKUP(E431,Readme!$A$31:$C$131,2)</f>
        <v>Unharmed / Fresh</v>
      </c>
      <c r="G431">
        <f t="shared" si="27"/>
        <v>0</v>
      </c>
    </row>
    <row r="432" spans="2:7">
      <c r="B432">
        <v>120</v>
      </c>
      <c r="C432">
        <f t="shared" si="24"/>
        <v>120</v>
      </c>
      <c r="D432">
        <f t="shared" si="25"/>
        <v>0</v>
      </c>
      <c r="E432" s="2">
        <f t="shared" si="26"/>
        <v>100</v>
      </c>
      <c r="F432" t="str">
        <f>VLOOKUP(E432,Readme!$A$31:$C$131,2)</f>
        <v>Unharmed / Fresh</v>
      </c>
      <c r="G432">
        <f t="shared" si="27"/>
        <v>0</v>
      </c>
    </row>
    <row r="433" spans="2:7">
      <c r="B433">
        <v>120</v>
      </c>
      <c r="C433">
        <f t="shared" si="24"/>
        <v>120</v>
      </c>
      <c r="D433">
        <f t="shared" si="25"/>
        <v>0</v>
      </c>
      <c r="E433" s="2">
        <f t="shared" si="26"/>
        <v>100</v>
      </c>
      <c r="F433" t="str">
        <f>VLOOKUP(E433,Readme!$A$31:$C$131,2)</f>
        <v>Unharmed / Fresh</v>
      </c>
      <c r="G433">
        <f t="shared" si="27"/>
        <v>0</v>
      </c>
    </row>
    <row r="434" spans="2:7">
      <c r="B434">
        <v>120</v>
      </c>
      <c r="C434">
        <f t="shared" si="24"/>
        <v>120</v>
      </c>
      <c r="D434">
        <f t="shared" si="25"/>
        <v>0</v>
      </c>
      <c r="E434" s="2">
        <f t="shared" si="26"/>
        <v>100</v>
      </c>
      <c r="F434" t="str">
        <f>VLOOKUP(E434,Readme!$A$31:$C$131,2)</f>
        <v>Unharmed / Fresh</v>
      </c>
      <c r="G434">
        <f t="shared" si="27"/>
        <v>0</v>
      </c>
    </row>
    <row r="435" spans="2:7">
      <c r="B435">
        <v>120</v>
      </c>
      <c r="C435">
        <f t="shared" si="24"/>
        <v>120</v>
      </c>
      <c r="D435">
        <f t="shared" si="25"/>
        <v>0</v>
      </c>
      <c r="E435" s="2">
        <f t="shared" si="26"/>
        <v>100</v>
      </c>
      <c r="F435" t="str">
        <f>VLOOKUP(E435,Readme!$A$31:$C$131,2)</f>
        <v>Unharmed / Fresh</v>
      </c>
      <c r="G435">
        <f t="shared" si="27"/>
        <v>0</v>
      </c>
    </row>
    <row r="436" spans="2:7">
      <c r="B436">
        <v>120</v>
      </c>
      <c r="C436">
        <f t="shared" si="24"/>
        <v>120</v>
      </c>
      <c r="D436">
        <f t="shared" si="25"/>
        <v>0</v>
      </c>
      <c r="E436" s="2">
        <f t="shared" si="26"/>
        <v>100</v>
      </c>
      <c r="F436" t="str">
        <f>VLOOKUP(E436,Readme!$A$31:$C$131,2)</f>
        <v>Unharmed / Fresh</v>
      </c>
      <c r="G436">
        <f t="shared" si="27"/>
        <v>0</v>
      </c>
    </row>
    <row r="437" spans="2:7">
      <c r="B437">
        <v>120</v>
      </c>
      <c r="C437">
        <f t="shared" si="24"/>
        <v>120</v>
      </c>
      <c r="D437">
        <f t="shared" si="25"/>
        <v>0</v>
      </c>
      <c r="E437" s="2">
        <f t="shared" si="26"/>
        <v>100</v>
      </c>
      <c r="F437" t="str">
        <f>VLOOKUP(E437,Readme!$A$31:$C$131,2)</f>
        <v>Unharmed / Fresh</v>
      </c>
      <c r="G437">
        <f t="shared" si="27"/>
        <v>0</v>
      </c>
    </row>
    <row r="438" spans="2:7">
      <c r="B438">
        <v>120</v>
      </c>
      <c r="C438">
        <f t="shared" si="24"/>
        <v>120</v>
      </c>
      <c r="D438">
        <f t="shared" si="25"/>
        <v>0</v>
      </c>
      <c r="E438" s="2">
        <f t="shared" si="26"/>
        <v>100</v>
      </c>
      <c r="F438" t="str">
        <f>VLOOKUP(E438,Readme!$A$31:$C$131,2)</f>
        <v>Unharmed / Fresh</v>
      </c>
      <c r="G438">
        <f t="shared" si="27"/>
        <v>0</v>
      </c>
    </row>
    <row r="439" spans="2:7">
      <c r="B439">
        <v>120</v>
      </c>
      <c r="C439">
        <f t="shared" si="24"/>
        <v>120</v>
      </c>
      <c r="D439">
        <f t="shared" si="25"/>
        <v>0</v>
      </c>
      <c r="E439" s="2">
        <f t="shared" si="26"/>
        <v>100</v>
      </c>
      <c r="F439" t="str">
        <f>VLOOKUP(E439,Readme!$A$31:$C$131,2)</f>
        <v>Unharmed / Fresh</v>
      </c>
      <c r="G439">
        <f t="shared" si="27"/>
        <v>0</v>
      </c>
    </row>
    <row r="440" spans="2:7">
      <c r="B440">
        <v>120</v>
      </c>
      <c r="C440">
        <f t="shared" si="24"/>
        <v>120</v>
      </c>
      <c r="D440">
        <f t="shared" si="25"/>
        <v>0</v>
      </c>
      <c r="E440" s="2">
        <f t="shared" si="26"/>
        <v>100</v>
      </c>
      <c r="F440" t="str">
        <f>VLOOKUP(E440,Readme!$A$31:$C$131,2)</f>
        <v>Unharmed / Fresh</v>
      </c>
      <c r="G440">
        <f t="shared" si="27"/>
        <v>0</v>
      </c>
    </row>
    <row r="441" spans="2:7">
      <c r="B441">
        <v>120</v>
      </c>
      <c r="C441">
        <f t="shared" si="24"/>
        <v>120</v>
      </c>
      <c r="D441">
        <f t="shared" si="25"/>
        <v>0</v>
      </c>
      <c r="E441" s="2">
        <f t="shared" si="26"/>
        <v>100</v>
      </c>
      <c r="F441" t="str">
        <f>VLOOKUP(E441,Readme!$A$31:$C$131,2)</f>
        <v>Unharmed / Fresh</v>
      </c>
      <c r="G441">
        <f t="shared" si="27"/>
        <v>0</v>
      </c>
    </row>
    <row r="442" spans="2:7">
      <c r="B442">
        <v>120</v>
      </c>
      <c r="C442">
        <f t="shared" si="24"/>
        <v>120</v>
      </c>
      <c r="D442">
        <f t="shared" si="25"/>
        <v>0</v>
      </c>
      <c r="E442" s="2">
        <f t="shared" si="26"/>
        <v>100</v>
      </c>
      <c r="F442" t="str">
        <f>VLOOKUP(E442,Readme!$A$31:$C$131,2)</f>
        <v>Unharmed / Fresh</v>
      </c>
      <c r="G442">
        <f t="shared" si="27"/>
        <v>0</v>
      </c>
    </row>
    <row r="443" spans="2:7">
      <c r="B443">
        <v>120</v>
      </c>
      <c r="C443">
        <f t="shared" si="24"/>
        <v>120</v>
      </c>
      <c r="D443">
        <f t="shared" si="25"/>
        <v>0</v>
      </c>
      <c r="E443" s="2">
        <f t="shared" si="26"/>
        <v>100</v>
      </c>
      <c r="F443" t="str">
        <f>VLOOKUP(E443,Readme!$A$31:$C$131,2)</f>
        <v>Unharmed / Fresh</v>
      </c>
      <c r="G443">
        <f t="shared" si="27"/>
        <v>0</v>
      </c>
    </row>
    <row r="444" spans="2:7">
      <c r="B444">
        <v>120</v>
      </c>
      <c r="C444">
        <f t="shared" si="24"/>
        <v>120</v>
      </c>
      <c r="D444">
        <f t="shared" si="25"/>
        <v>0</v>
      </c>
      <c r="E444" s="2">
        <f t="shared" si="26"/>
        <v>100</v>
      </c>
      <c r="F444" t="str">
        <f>VLOOKUP(E444,Readme!$A$31:$C$131,2)</f>
        <v>Unharmed / Fresh</v>
      </c>
      <c r="G444">
        <f t="shared" si="27"/>
        <v>0</v>
      </c>
    </row>
    <row r="445" spans="2:7">
      <c r="B445">
        <v>120</v>
      </c>
      <c r="C445">
        <f t="shared" si="24"/>
        <v>120</v>
      </c>
      <c r="D445">
        <f t="shared" si="25"/>
        <v>0</v>
      </c>
      <c r="E445" s="2">
        <f t="shared" si="26"/>
        <v>100</v>
      </c>
      <c r="F445" t="str">
        <f>VLOOKUP(E445,Readme!$A$31:$C$131,2)</f>
        <v>Unharmed / Fresh</v>
      </c>
      <c r="G445">
        <f t="shared" si="27"/>
        <v>0</v>
      </c>
    </row>
    <row r="446" spans="2:7">
      <c r="B446">
        <v>120</v>
      </c>
      <c r="C446">
        <f t="shared" si="24"/>
        <v>120</v>
      </c>
      <c r="D446">
        <f t="shared" si="25"/>
        <v>0</v>
      </c>
      <c r="E446" s="2">
        <f t="shared" si="26"/>
        <v>100</v>
      </c>
      <c r="F446" t="str">
        <f>VLOOKUP(E446,Readme!$A$31:$C$131,2)</f>
        <v>Unharmed / Fresh</v>
      </c>
      <c r="G446">
        <f t="shared" si="27"/>
        <v>0</v>
      </c>
    </row>
    <row r="447" spans="2:7">
      <c r="B447">
        <v>120</v>
      </c>
      <c r="C447">
        <f t="shared" si="24"/>
        <v>120</v>
      </c>
      <c r="D447">
        <f t="shared" si="25"/>
        <v>0</v>
      </c>
      <c r="E447" s="2">
        <f t="shared" si="26"/>
        <v>100</v>
      </c>
      <c r="F447" t="str">
        <f>VLOOKUP(E447,Readme!$A$31:$C$131,2)</f>
        <v>Unharmed / Fresh</v>
      </c>
      <c r="G447">
        <f t="shared" si="27"/>
        <v>0</v>
      </c>
    </row>
    <row r="448" spans="2:7">
      <c r="B448">
        <v>120</v>
      </c>
      <c r="C448">
        <f t="shared" si="24"/>
        <v>120</v>
      </c>
      <c r="D448">
        <f t="shared" si="25"/>
        <v>0</v>
      </c>
      <c r="E448" s="2">
        <f t="shared" si="26"/>
        <v>100</v>
      </c>
      <c r="F448" t="str">
        <f>VLOOKUP(E448,Readme!$A$31:$C$131,2)</f>
        <v>Unharmed / Fresh</v>
      </c>
      <c r="G448">
        <f t="shared" si="27"/>
        <v>0</v>
      </c>
    </row>
    <row r="449" spans="2:7">
      <c r="B449">
        <v>120</v>
      </c>
      <c r="C449">
        <f t="shared" si="24"/>
        <v>120</v>
      </c>
      <c r="D449">
        <f t="shared" si="25"/>
        <v>0</v>
      </c>
      <c r="E449" s="2">
        <f t="shared" si="26"/>
        <v>100</v>
      </c>
      <c r="F449" t="str">
        <f>VLOOKUP(E449,Readme!$A$31:$C$131,2)</f>
        <v>Unharmed / Fresh</v>
      </c>
      <c r="G449">
        <f t="shared" si="27"/>
        <v>0</v>
      </c>
    </row>
    <row r="450" spans="2:7">
      <c r="B450">
        <v>120</v>
      </c>
      <c r="C450">
        <f t="shared" si="24"/>
        <v>120</v>
      </c>
      <c r="D450">
        <f t="shared" si="25"/>
        <v>0</v>
      </c>
      <c r="E450" s="2">
        <f t="shared" si="26"/>
        <v>100</v>
      </c>
      <c r="F450" t="str">
        <f>VLOOKUP(E450,Readme!$A$31:$C$131,2)</f>
        <v>Unharmed / Fresh</v>
      </c>
      <c r="G450">
        <f t="shared" si="27"/>
        <v>0</v>
      </c>
    </row>
    <row r="451" spans="2:7">
      <c r="B451">
        <v>120</v>
      </c>
      <c r="C451">
        <f t="shared" ref="C451:C501" si="28">B451-G451</f>
        <v>120</v>
      </c>
      <c r="D451">
        <f t="shared" ref="D451:D501" si="29">B451-C451</f>
        <v>0</v>
      </c>
      <c r="E451" s="2">
        <f t="shared" ref="E451:E501" si="30">(C451/B451)*100</f>
        <v>100</v>
      </c>
      <c r="F451" t="str">
        <f>VLOOKUP(E451,Readme!$A$31:$C$131,2)</f>
        <v>Unharmed / Fresh</v>
      </c>
      <c r="G451">
        <f t="shared" ref="G451:G501" si="31">SUM(H451:FY451)</f>
        <v>0</v>
      </c>
    </row>
    <row r="452" spans="2:7">
      <c r="B452">
        <v>120</v>
      </c>
      <c r="C452">
        <f t="shared" si="28"/>
        <v>120</v>
      </c>
      <c r="D452">
        <f t="shared" si="29"/>
        <v>0</v>
      </c>
      <c r="E452" s="2">
        <f t="shared" si="30"/>
        <v>100</v>
      </c>
      <c r="F452" t="str">
        <f>VLOOKUP(E452,Readme!$A$31:$C$131,2)</f>
        <v>Unharmed / Fresh</v>
      </c>
      <c r="G452">
        <f t="shared" si="31"/>
        <v>0</v>
      </c>
    </row>
    <row r="453" spans="2:7">
      <c r="B453">
        <v>120</v>
      </c>
      <c r="C453">
        <f t="shared" si="28"/>
        <v>120</v>
      </c>
      <c r="D453">
        <f t="shared" si="29"/>
        <v>0</v>
      </c>
      <c r="E453" s="2">
        <f t="shared" si="30"/>
        <v>100</v>
      </c>
      <c r="F453" t="str">
        <f>VLOOKUP(E453,Readme!$A$31:$C$131,2)</f>
        <v>Unharmed / Fresh</v>
      </c>
      <c r="G453">
        <f t="shared" si="31"/>
        <v>0</v>
      </c>
    </row>
    <row r="454" spans="2:7">
      <c r="B454">
        <v>120</v>
      </c>
      <c r="C454">
        <f t="shared" si="28"/>
        <v>120</v>
      </c>
      <c r="D454">
        <f t="shared" si="29"/>
        <v>0</v>
      </c>
      <c r="E454" s="2">
        <f t="shared" si="30"/>
        <v>100</v>
      </c>
      <c r="F454" t="str">
        <f>VLOOKUP(E454,Readme!$A$31:$C$131,2)</f>
        <v>Unharmed / Fresh</v>
      </c>
      <c r="G454">
        <f t="shared" si="31"/>
        <v>0</v>
      </c>
    </row>
    <row r="455" spans="2:7">
      <c r="B455">
        <v>120</v>
      </c>
      <c r="C455">
        <f t="shared" si="28"/>
        <v>120</v>
      </c>
      <c r="D455">
        <f t="shared" si="29"/>
        <v>0</v>
      </c>
      <c r="E455" s="2">
        <f t="shared" si="30"/>
        <v>100</v>
      </c>
      <c r="F455" t="str">
        <f>VLOOKUP(E455,Readme!$A$31:$C$131,2)</f>
        <v>Unharmed / Fresh</v>
      </c>
      <c r="G455">
        <f t="shared" si="31"/>
        <v>0</v>
      </c>
    </row>
    <row r="456" spans="2:7">
      <c r="B456">
        <v>120</v>
      </c>
      <c r="C456">
        <f t="shared" si="28"/>
        <v>120</v>
      </c>
      <c r="D456">
        <f t="shared" si="29"/>
        <v>0</v>
      </c>
      <c r="E456" s="2">
        <f t="shared" si="30"/>
        <v>100</v>
      </c>
      <c r="F456" t="str">
        <f>VLOOKUP(E456,Readme!$A$31:$C$131,2)</f>
        <v>Unharmed / Fresh</v>
      </c>
      <c r="G456">
        <f t="shared" si="31"/>
        <v>0</v>
      </c>
    </row>
    <row r="457" spans="2:7">
      <c r="B457">
        <v>120</v>
      </c>
      <c r="C457">
        <f t="shared" si="28"/>
        <v>120</v>
      </c>
      <c r="D457">
        <f t="shared" si="29"/>
        <v>0</v>
      </c>
      <c r="E457" s="2">
        <f t="shared" si="30"/>
        <v>100</v>
      </c>
      <c r="F457" t="str">
        <f>VLOOKUP(E457,Readme!$A$31:$C$131,2)</f>
        <v>Unharmed / Fresh</v>
      </c>
      <c r="G457">
        <f t="shared" si="31"/>
        <v>0</v>
      </c>
    </row>
    <row r="458" spans="2:7">
      <c r="B458">
        <v>120</v>
      </c>
      <c r="C458">
        <f t="shared" si="28"/>
        <v>120</v>
      </c>
      <c r="D458">
        <f t="shared" si="29"/>
        <v>0</v>
      </c>
      <c r="E458" s="2">
        <f t="shared" si="30"/>
        <v>100</v>
      </c>
      <c r="F458" t="str">
        <f>VLOOKUP(E458,Readme!$A$31:$C$131,2)</f>
        <v>Unharmed / Fresh</v>
      </c>
      <c r="G458">
        <f t="shared" si="31"/>
        <v>0</v>
      </c>
    </row>
    <row r="459" spans="2:7">
      <c r="B459">
        <v>120</v>
      </c>
      <c r="C459">
        <f t="shared" si="28"/>
        <v>120</v>
      </c>
      <c r="D459">
        <f t="shared" si="29"/>
        <v>0</v>
      </c>
      <c r="E459" s="2">
        <f t="shared" si="30"/>
        <v>100</v>
      </c>
      <c r="F459" t="str">
        <f>VLOOKUP(E459,Readme!$A$31:$C$131,2)</f>
        <v>Unharmed / Fresh</v>
      </c>
      <c r="G459">
        <f t="shared" si="31"/>
        <v>0</v>
      </c>
    </row>
    <row r="460" spans="2:7">
      <c r="B460">
        <v>120</v>
      </c>
      <c r="C460">
        <f t="shared" si="28"/>
        <v>120</v>
      </c>
      <c r="D460">
        <f t="shared" si="29"/>
        <v>0</v>
      </c>
      <c r="E460" s="2">
        <f t="shared" si="30"/>
        <v>100</v>
      </c>
      <c r="F460" t="str">
        <f>VLOOKUP(E460,Readme!$A$31:$C$131,2)</f>
        <v>Unharmed / Fresh</v>
      </c>
      <c r="G460">
        <f t="shared" si="31"/>
        <v>0</v>
      </c>
    </row>
    <row r="461" spans="2:7">
      <c r="B461">
        <v>120</v>
      </c>
      <c r="C461">
        <f t="shared" si="28"/>
        <v>120</v>
      </c>
      <c r="D461">
        <f t="shared" si="29"/>
        <v>0</v>
      </c>
      <c r="E461" s="2">
        <f t="shared" si="30"/>
        <v>100</v>
      </c>
      <c r="F461" t="str">
        <f>VLOOKUP(E461,Readme!$A$31:$C$131,2)</f>
        <v>Unharmed / Fresh</v>
      </c>
      <c r="G461">
        <f t="shared" si="31"/>
        <v>0</v>
      </c>
    </row>
    <row r="462" spans="2:7">
      <c r="B462">
        <v>120</v>
      </c>
      <c r="C462">
        <f t="shared" si="28"/>
        <v>120</v>
      </c>
      <c r="D462">
        <f t="shared" si="29"/>
        <v>0</v>
      </c>
      <c r="E462" s="2">
        <f t="shared" si="30"/>
        <v>100</v>
      </c>
      <c r="F462" t="str">
        <f>VLOOKUP(E462,Readme!$A$31:$C$131,2)</f>
        <v>Unharmed / Fresh</v>
      </c>
      <c r="G462">
        <f t="shared" si="31"/>
        <v>0</v>
      </c>
    </row>
    <row r="463" spans="2:7">
      <c r="B463">
        <v>120</v>
      </c>
      <c r="C463">
        <f t="shared" si="28"/>
        <v>120</v>
      </c>
      <c r="D463">
        <f t="shared" si="29"/>
        <v>0</v>
      </c>
      <c r="E463" s="2">
        <f t="shared" si="30"/>
        <v>100</v>
      </c>
      <c r="F463" t="str">
        <f>VLOOKUP(E463,Readme!$A$31:$C$131,2)</f>
        <v>Unharmed / Fresh</v>
      </c>
      <c r="G463">
        <f t="shared" si="31"/>
        <v>0</v>
      </c>
    </row>
    <row r="464" spans="2:7">
      <c r="B464">
        <v>120</v>
      </c>
      <c r="C464">
        <f t="shared" si="28"/>
        <v>120</v>
      </c>
      <c r="D464">
        <f t="shared" si="29"/>
        <v>0</v>
      </c>
      <c r="E464" s="2">
        <f t="shared" si="30"/>
        <v>100</v>
      </c>
      <c r="F464" t="str">
        <f>VLOOKUP(E464,Readme!$A$31:$C$131,2)</f>
        <v>Unharmed / Fresh</v>
      </c>
      <c r="G464">
        <f t="shared" si="31"/>
        <v>0</v>
      </c>
    </row>
    <row r="465" spans="2:7">
      <c r="B465">
        <v>120</v>
      </c>
      <c r="C465">
        <f t="shared" si="28"/>
        <v>120</v>
      </c>
      <c r="D465">
        <f t="shared" si="29"/>
        <v>0</v>
      </c>
      <c r="E465" s="2">
        <f t="shared" si="30"/>
        <v>100</v>
      </c>
      <c r="F465" t="str">
        <f>VLOOKUP(E465,Readme!$A$31:$C$131,2)</f>
        <v>Unharmed / Fresh</v>
      </c>
      <c r="G465">
        <f t="shared" si="31"/>
        <v>0</v>
      </c>
    </row>
    <row r="466" spans="2:7">
      <c r="B466">
        <v>120</v>
      </c>
      <c r="C466">
        <f t="shared" si="28"/>
        <v>120</v>
      </c>
      <c r="D466">
        <f t="shared" si="29"/>
        <v>0</v>
      </c>
      <c r="E466" s="2">
        <f t="shared" si="30"/>
        <v>100</v>
      </c>
      <c r="F466" t="str">
        <f>VLOOKUP(E466,Readme!$A$31:$C$131,2)</f>
        <v>Unharmed / Fresh</v>
      </c>
      <c r="G466">
        <f t="shared" si="31"/>
        <v>0</v>
      </c>
    </row>
    <row r="467" spans="2:7">
      <c r="B467">
        <v>120</v>
      </c>
      <c r="C467">
        <f t="shared" si="28"/>
        <v>120</v>
      </c>
      <c r="D467">
        <f t="shared" si="29"/>
        <v>0</v>
      </c>
      <c r="E467" s="2">
        <f t="shared" si="30"/>
        <v>100</v>
      </c>
      <c r="F467" t="str">
        <f>VLOOKUP(E467,Readme!$A$31:$C$131,2)</f>
        <v>Unharmed / Fresh</v>
      </c>
      <c r="G467">
        <f t="shared" si="31"/>
        <v>0</v>
      </c>
    </row>
    <row r="468" spans="2:7">
      <c r="B468">
        <v>120</v>
      </c>
      <c r="C468">
        <f t="shared" si="28"/>
        <v>120</v>
      </c>
      <c r="D468">
        <f t="shared" si="29"/>
        <v>0</v>
      </c>
      <c r="E468" s="2">
        <f t="shared" si="30"/>
        <v>100</v>
      </c>
      <c r="F468" t="str">
        <f>VLOOKUP(E468,Readme!$A$31:$C$131,2)</f>
        <v>Unharmed / Fresh</v>
      </c>
      <c r="G468">
        <f t="shared" si="31"/>
        <v>0</v>
      </c>
    </row>
    <row r="469" spans="2:7">
      <c r="B469">
        <v>120</v>
      </c>
      <c r="C469">
        <f t="shared" si="28"/>
        <v>120</v>
      </c>
      <c r="D469">
        <f t="shared" si="29"/>
        <v>0</v>
      </c>
      <c r="E469" s="2">
        <f t="shared" si="30"/>
        <v>100</v>
      </c>
      <c r="F469" t="str">
        <f>VLOOKUP(E469,Readme!$A$31:$C$131,2)</f>
        <v>Unharmed / Fresh</v>
      </c>
      <c r="G469">
        <f t="shared" si="31"/>
        <v>0</v>
      </c>
    </row>
    <row r="470" spans="2:7">
      <c r="B470">
        <v>120</v>
      </c>
      <c r="C470">
        <f t="shared" si="28"/>
        <v>120</v>
      </c>
      <c r="D470">
        <f t="shared" si="29"/>
        <v>0</v>
      </c>
      <c r="E470" s="2">
        <f t="shared" si="30"/>
        <v>100</v>
      </c>
      <c r="F470" t="str">
        <f>VLOOKUP(E470,Readme!$A$31:$C$131,2)</f>
        <v>Unharmed / Fresh</v>
      </c>
      <c r="G470">
        <f t="shared" si="31"/>
        <v>0</v>
      </c>
    </row>
    <row r="471" spans="2:7">
      <c r="B471">
        <v>120</v>
      </c>
      <c r="C471">
        <f t="shared" si="28"/>
        <v>120</v>
      </c>
      <c r="D471">
        <f t="shared" si="29"/>
        <v>0</v>
      </c>
      <c r="E471" s="2">
        <f t="shared" si="30"/>
        <v>100</v>
      </c>
      <c r="F471" t="str">
        <f>VLOOKUP(E471,Readme!$A$31:$C$131,2)</f>
        <v>Unharmed / Fresh</v>
      </c>
      <c r="G471">
        <f t="shared" si="31"/>
        <v>0</v>
      </c>
    </row>
    <row r="472" spans="2:7">
      <c r="B472">
        <v>120</v>
      </c>
      <c r="C472">
        <f t="shared" si="28"/>
        <v>120</v>
      </c>
      <c r="D472">
        <f t="shared" si="29"/>
        <v>0</v>
      </c>
      <c r="E472" s="2">
        <f t="shared" si="30"/>
        <v>100</v>
      </c>
      <c r="F472" t="str">
        <f>VLOOKUP(E472,Readme!$A$31:$C$131,2)</f>
        <v>Unharmed / Fresh</v>
      </c>
      <c r="G472">
        <f t="shared" si="31"/>
        <v>0</v>
      </c>
    </row>
    <row r="473" spans="2:7">
      <c r="B473">
        <v>120</v>
      </c>
      <c r="C473">
        <f t="shared" si="28"/>
        <v>120</v>
      </c>
      <c r="D473">
        <f t="shared" si="29"/>
        <v>0</v>
      </c>
      <c r="E473" s="2">
        <f t="shared" si="30"/>
        <v>100</v>
      </c>
      <c r="F473" t="str">
        <f>VLOOKUP(E473,Readme!$A$31:$C$131,2)</f>
        <v>Unharmed / Fresh</v>
      </c>
      <c r="G473">
        <f t="shared" si="31"/>
        <v>0</v>
      </c>
    </row>
    <row r="474" spans="2:7">
      <c r="B474">
        <v>120</v>
      </c>
      <c r="C474">
        <f t="shared" si="28"/>
        <v>120</v>
      </c>
      <c r="D474">
        <f t="shared" si="29"/>
        <v>0</v>
      </c>
      <c r="E474" s="2">
        <f t="shared" si="30"/>
        <v>100</v>
      </c>
      <c r="F474" t="str">
        <f>VLOOKUP(E474,Readme!$A$31:$C$131,2)</f>
        <v>Unharmed / Fresh</v>
      </c>
      <c r="G474">
        <f t="shared" si="31"/>
        <v>0</v>
      </c>
    </row>
    <row r="475" spans="2:7">
      <c r="B475">
        <v>120</v>
      </c>
      <c r="C475">
        <f t="shared" si="28"/>
        <v>120</v>
      </c>
      <c r="D475">
        <f t="shared" si="29"/>
        <v>0</v>
      </c>
      <c r="E475" s="2">
        <f t="shared" si="30"/>
        <v>100</v>
      </c>
      <c r="F475" t="str">
        <f>VLOOKUP(E475,Readme!$A$31:$C$131,2)</f>
        <v>Unharmed / Fresh</v>
      </c>
      <c r="G475">
        <f t="shared" si="31"/>
        <v>0</v>
      </c>
    </row>
    <row r="476" spans="2:7">
      <c r="B476">
        <v>120</v>
      </c>
      <c r="C476">
        <f t="shared" si="28"/>
        <v>120</v>
      </c>
      <c r="D476">
        <f t="shared" si="29"/>
        <v>0</v>
      </c>
      <c r="E476" s="2">
        <f t="shared" si="30"/>
        <v>100</v>
      </c>
      <c r="F476" t="str">
        <f>VLOOKUP(E476,Readme!$A$31:$C$131,2)</f>
        <v>Unharmed / Fresh</v>
      </c>
      <c r="G476">
        <f t="shared" si="31"/>
        <v>0</v>
      </c>
    </row>
    <row r="477" spans="2:7">
      <c r="B477">
        <v>120</v>
      </c>
      <c r="C477">
        <f t="shared" si="28"/>
        <v>120</v>
      </c>
      <c r="D477">
        <f t="shared" si="29"/>
        <v>0</v>
      </c>
      <c r="E477" s="2">
        <f t="shared" si="30"/>
        <v>100</v>
      </c>
      <c r="F477" t="str">
        <f>VLOOKUP(E477,Readme!$A$31:$C$131,2)</f>
        <v>Unharmed / Fresh</v>
      </c>
      <c r="G477">
        <f t="shared" si="31"/>
        <v>0</v>
      </c>
    </row>
    <row r="478" spans="2:7">
      <c r="B478">
        <v>120</v>
      </c>
      <c r="C478">
        <f t="shared" si="28"/>
        <v>120</v>
      </c>
      <c r="D478">
        <f t="shared" si="29"/>
        <v>0</v>
      </c>
      <c r="E478" s="2">
        <f t="shared" si="30"/>
        <v>100</v>
      </c>
      <c r="F478" t="str">
        <f>VLOOKUP(E478,Readme!$A$31:$C$131,2)</f>
        <v>Unharmed / Fresh</v>
      </c>
      <c r="G478">
        <f t="shared" si="31"/>
        <v>0</v>
      </c>
    </row>
    <row r="479" spans="2:7">
      <c r="B479">
        <v>120</v>
      </c>
      <c r="C479">
        <f t="shared" si="28"/>
        <v>120</v>
      </c>
      <c r="D479">
        <f t="shared" si="29"/>
        <v>0</v>
      </c>
      <c r="E479" s="2">
        <f t="shared" si="30"/>
        <v>100</v>
      </c>
      <c r="F479" t="str">
        <f>VLOOKUP(E479,Readme!$A$31:$C$131,2)</f>
        <v>Unharmed / Fresh</v>
      </c>
      <c r="G479">
        <f t="shared" si="31"/>
        <v>0</v>
      </c>
    </row>
    <row r="480" spans="2:7">
      <c r="B480">
        <v>120</v>
      </c>
      <c r="C480">
        <f t="shared" si="28"/>
        <v>120</v>
      </c>
      <c r="D480">
        <f t="shared" si="29"/>
        <v>0</v>
      </c>
      <c r="E480" s="2">
        <f t="shared" si="30"/>
        <v>100</v>
      </c>
      <c r="F480" t="str">
        <f>VLOOKUP(E480,Readme!$A$31:$C$131,2)</f>
        <v>Unharmed / Fresh</v>
      </c>
      <c r="G480">
        <f t="shared" si="31"/>
        <v>0</v>
      </c>
    </row>
    <row r="481" spans="2:7">
      <c r="B481">
        <v>120</v>
      </c>
      <c r="C481">
        <f t="shared" si="28"/>
        <v>120</v>
      </c>
      <c r="D481">
        <f t="shared" si="29"/>
        <v>0</v>
      </c>
      <c r="E481" s="2">
        <f t="shared" si="30"/>
        <v>100</v>
      </c>
      <c r="F481" t="str">
        <f>VLOOKUP(E481,Readme!$A$31:$C$131,2)</f>
        <v>Unharmed / Fresh</v>
      </c>
      <c r="G481">
        <f t="shared" si="31"/>
        <v>0</v>
      </c>
    </row>
    <row r="482" spans="2:7">
      <c r="B482">
        <v>120</v>
      </c>
      <c r="C482">
        <f t="shared" si="28"/>
        <v>120</v>
      </c>
      <c r="D482">
        <f t="shared" si="29"/>
        <v>0</v>
      </c>
      <c r="E482" s="2">
        <f t="shared" si="30"/>
        <v>100</v>
      </c>
      <c r="F482" t="str">
        <f>VLOOKUP(E482,Readme!$A$31:$C$131,2)</f>
        <v>Unharmed / Fresh</v>
      </c>
      <c r="G482">
        <f t="shared" si="31"/>
        <v>0</v>
      </c>
    </row>
    <row r="483" spans="2:7">
      <c r="B483">
        <v>120</v>
      </c>
      <c r="C483">
        <f t="shared" si="28"/>
        <v>120</v>
      </c>
      <c r="D483">
        <f t="shared" si="29"/>
        <v>0</v>
      </c>
      <c r="E483" s="2">
        <f t="shared" si="30"/>
        <v>100</v>
      </c>
      <c r="F483" t="str">
        <f>VLOOKUP(E483,Readme!$A$31:$C$131,2)</f>
        <v>Unharmed / Fresh</v>
      </c>
      <c r="G483">
        <f t="shared" si="31"/>
        <v>0</v>
      </c>
    </row>
    <row r="484" spans="2:7">
      <c r="B484">
        <v>120</v>
      </c>
      <c r="C484">
        <f t="shared" si="28"/>
        <v>120</v>
      </c>
      <c r="D484">
        <f t="shared" si="29"/>
        <v>0</v>
      </c>
      <c r="E484" s="2">
        <f t="shared" si="30"/>
        <v>100</v>
      </c>
      <c r="F484" t="str">
        <f>VLOOKUP(E484,Readme!$A$31:$C$131,2)</f>
        <v>Unharmed / Fresh</v>
      </c>
      <c r="G484">
        <f t="shared" si="31"/>
        <v>0</v>
      </c>
    </row>
    <row r="485" spans="2:7">
      <c r="B485">
        <v>120</v>
      </c>
      <c r="C485">
        <f t="shared" si="28"/>
        <v>120</v>
      </c>
      <c r="D485">
        <f t="shared" si="29"/>
        <v>0</v>
      </c>
      <c r="E485" s="2">
        <f t="shared" si="30"/>
        <v>100</v>
      </c>
      <c r="F485" t="str">
        <f>VLOOKUP(E485,Readme!$A$31:$C$131,2)</f>
        <v>Unharmed / Fresh</v>
      </c>
      <c r="G485">
        <f t="shared" si="31"/>
        <v>0</v>
      </c>
    </row>
    <row r="486" spans="2:7">
      <c r="B486">
        <v>120</v>
      </c>
      <c r="C486">
        <f t="shared" si="28"/>
        <v>120</v>
      </c>
      <c r="D486">
        <f t="shared" si="29"/>
        <v>0</v>
      </c>
      <c r="E486" s="2">
        <f t="shared" si="30"/>
        <v>100</v>
      </c>
      <c r="F486" t="str">
        <f>VLOOKUP(E486,Readme!$A$31:$C$131,2)</f>
        <v>Unharmed / Fresh</v>
      </c>
      <c r="G486">
        <f t="shared" si="31"/>
        <v>0</v>
      </c>
    </row>
    <row r="487" spans="2:7">
      <c r="B487">
        <v>120</v>
      </c>
      <c r="C487">
        <f t="shared" si="28"/>
        <v>120</v>
      </c>
      <c r="D487">
        <f t="shared" si="29"/>
        <v>0</v>
      </c>
      <c r="E487" s="2">
        <f t="shared" si="30"/>
        <v>100</v>
      </c>
      <c r="F487" t="str">
        <f>VLOOKUP(E487,Readme!$A$31:$C$131,2)</f>
        <v>Unharmed / Fresh</v>
      </c>
      <c r="G487">
        <f t="shared" si="31"/>
        <v>0</v>
      </c>
    </row>
    <row r="488" spans="2:7">
      <c r="B488">
        <v>120</v>
      </c>
      <c r="C488">
        <f t="shared" si="28"/>
        <v>120</v>
      </c>
      <c r="D488">
        <f t="shared" si="29"/>
        <v>0</v>
      </c>
      <c r="E488" s="2">
        <f t="shared" si="30"/>
        <v>100</v>
      </c>
      <c r="F488" t="str">
        <f>VLOOKUP(E488,Readme!$A$31:$C$131,2)</f>
        <v>Unharmed / Fresh</v>
      </c>
      <c r="G488">
        <f t="shared" si="31"/>
        <v>0</v>
      </c>
    </row>
    <row r="489" spans="2:7">
      <c r="B489">
        <v>120</v>
      </c>
      <c r="C489">
        <f t="shared" si="28"/>
        <v>120</v>
      </c>
      <c r="D489">
        <f t="shared" si="29"/>
        <v>0</v>
      </c>
      <c r="E489" s="2">
        <f t="shared" si="30"/>
        <v>100</v>
      </c>
      <c r="F489" t="str">
        <f>VLOOKUP(E489,Readme!$A$31:$C$131,2)</f>
        <v>Unharmed / Fresh</v>
      </c>
      <c r="G489">
        <f t="shared" si="31"/>
        <v>0</v>
      </c>
    </row>
    <row r="490" spans="2:7">
      <c r="B490">
        <v>120</v>
      </c>
      <c r="C490">
        <f t="shared" si="28"/>
        <v>120</v>
      </c>
      <c r="D490">
        <f t="shared" si="29"/>
        <v>0</v>
      </c>
      <c r="E490" s="2">
        <f t="shared" si="30"/>
        <v>100</v>
      </c>
      <c r="F490" t="str">
        <f>VLOOKUP(E490,Readme!$A$31:$C$131,2)</f>
        <v>Unharmed / Fresh</v>
      </c>
      <c r="G490">
        <f t="shared" si="31"/>
        <v>0</v>
      </c>
    </row>
    <row r="491" spans="2:7">
      <c r="B491">
        <v>120</v>
      </c>
      <c r="C491">
        <f t="shared" si="28"/>
        <v>120</v>
      </c>
      <c r="D491">
        <f t="shared" si="29"/>
        <v>0</v>
      </c>
      <c r="E491" s="2">
        <f t="shared" si="30"/>
        <v>100</v>
      </c>
      <c r="F491" t="str">
        <f>VLOOKUP(E491,Readme!$A$31:$C$131,2)</f>
        <v>Unharmed / Fresh</v>
      </c>
      <c r="G491">
        <f t="shared" si="31"/>
        <v>0</v>
      </c>
    </row>
    <row r="492" spans="2:7">
      <c r="B492">
        <v>120</v>
      </c>
      <c r="C492">
        <f t="shared" si="28"/>
        <v>120</v>
      </c>
      <c r="D492">
        <f t="shared" si="29"/>
        <v>0</v>
      </c>
      <c r="E492" s="2">
        <f t="shared" si="30"/>
        <v>100</v>
      </c>
      <c r="F492" t="str">
        <f>VLOOKUP(E492,Readme!$A$31:$C$131,2)</f>
        <v>Unharmed / Fresh</v>
      </c>
      <c r="G492">
        <f t="shared" si="31"/>
        <v>0</v>
      </c>
    </row>
    <row r="493" spans="2:7">
      <c r="B493">
        <v>120</v>
      </c>
      <c r="C493">
        <f t="shared" si="28"/>
        <v>120</v>
      </c>
      <c r="D493">
        <f t="shared" si="29"/>
        <v>0</v>
      </c>
      <c r="E493" s="2">
        <f t="shared" si="30"/>
        <v>100</v>
      </c>
      <c r="F493" t="str">
        <f>VLOOKUP(E493,Readme!$A$31:$C$131,2)</f>
        <v>Unharmed / Fresh</v>
      </c>
      <c r="G493">
        <f t="shared" si="31"/>
        <v>0</v>
      </c>
    </row>
    <row r="494" spans="2:7">
      <c r="B494">
        <v>120</v>
      </c>
      <c r="C494">
        <f t="shared" si="28"/>
        <v>120</v>
      </c>
      <c r="D494">
        <f t="shared" si="29"/>
        <v>0</v>
      </c>
      <c r="E494" s="2">
        <f t="shared" si="30"/>
        <v>100</v>
      </c>
      <c r="F494" t="str">
        <f>VLOOKUP(E494,Readme!$A$31:$C$131,2)</f>
        <v>Unharmed / Fresh</v>
      </c>
      <c r="G494">
        <f t="shared" si="31"/>
        <v>0</v>
      </c>
    </row>
    <row r="495" spans="2:7">
      <c r="B495">
        <v>120</v>
      </c>
      <c r="C495">
        <f t="shared" si="28"/>
        <v>120</v>
      </c>
      <c r="D495">
        <f t="shared" si="29"/>
        <v>0</v>
      </c>
      <c r="E495" s="2">
        <f t="shared" si="30"/>
        <v>100</v>
      </c>
      <c r="F495" t="str">
        <f>VLOOKUP(E495,Readme!$A$31:$C$131,2)</f>
        <v>Unharmed / Fresh</v>
      </c>
      <c r="G495">
        <f t="shared" si="31"/>
        <v>0</v>
      </c>
    </row>
    <row r="496" spans="2:7">
      <c r="B496">
        <v>120</v>
      </c>
      <c r="C496">
        <f t="shared" si="28"/>
        <v>120</v>
      </c>
      <c r="D496">
        <f t="shared" si="29"/>
        <v>0</v>
      </c>
      <c r="E496" s="2">
        <f t="shared" si="30"/>
        <v>100</v>
      </c>
      <c r="F496" t="str">
        <f>VLOOKUP(E496,Readme!$A$31:$C$131,2)</f>
        <v>Unharmed / Fresh</v>
      </c>
      <c r="G496">
        <f t="shared" si="31"/>
        <v>0</v>
      </c>
    </row>
    <row r="497" spans="2:7">
      <c r="B497">
        <v>120</v>
      </c>
      <c r="C497">
        <f t="shared" si="28"/>
        <v>120</v>
      </c>
      <c r="D497">
        <f t="shared" si="29"/>
        <v>0</v>
      </c>
      <c r="E497" s="2">
        <f t="shared" si="30"/>
        <v>100</v>
      </c>
      <c r="F497" t="str">
        <f>VLOOKUP(E497,Readme!$A$31:$C$131,2)</f>
        <v>Unharmed / Fresh</v>
      </c>
      <c r="G497">
        <f t="shared" si="31"/>
        <v>0</v>
      </c>
    </row>
    <row r="498" spans="2:7">
      <c r="B498">
        <v>120</v>
      </c>
      <c r="C498">
        <f t="shared" si="28"/>
        <v>120</v>
      </c>
      <c r="D498">
        <f t="shared" si="29"/>
        <v>0</v>
      </c>
      <c r="E498" s="2">
        <f t="shared" si="30"/>
        <v>100</v>
      </c>
      <c r="F498" t="str">
        <f>VLOOKUP(E498,Readme!$A$31:$C$131,2)</f>
        <v>Unharmed / Fresh</v>
      </c>
      <c r="G498">
        <f t="shared" si="31"/>
        <v>0</v>
      </c>
    </row>
    <row r="499" spans="2:7">
      <c r="B499">
        <v>120</v>
      </c>
      <c r="C499">
        <f t="shared" si="28"/>
        <v>120</v>
      </c>
      <c r="D499">
        <f t="shared" si="29"/>
        <v>0</v>
      </c>
      <c r="E499" s="2">
        <f t="shared" si="30"/>
        <v>100</v>
      </c>
      <c r="F499" t="str">
        <f>VLOOKUP(E499,Readme!$A$31:$C$131,2)</f>
        <v>Unharmed / Fresh</v>
      </c>
      <c r="G499">
        <f t="shared" si="31"/>
        <v>0</v>
      </c>
    </row>
    <row r="500" spans="2:7">
      <c r="B500">
        <v>120</v>
      </c>
      <c r="C500">
        <f t="shared" si="28"/>
        <v>120</v>
      </c>
      <c r="D500">
        <f t="shared" si="29"/>
        <v>0</v>
      </c>
      <c r="E500" s="2">
        <f t="shared" si="30"/>
        <v>100</v>
      </c>
      <c r="F500" t="str">
        <f>VLOOKUP(E500,Readme!$A$31:$C$131,2)</f>
        <v>Unharmed / Fresh</v>
      </c>
      <c r="G500">
        <f t="shared" si="31"/>
        <v>0</v>
      </c>
    </row>
    <row r="501" spans="2:7">
      <c r="B501">
        <v>120</v>
      </c>
      <c r="C501">
        <f t="shared" si="28"/>
        <v>120</v>
      </c>
      <c r="D501">
        <f t="shared" si="29"/>
        <v>0</v>
      </c>
      <c r="E501" s="2">
        <f t="shared" si="30"/>
        <v>100</v>
      </c>
      <c r="F501" t="str">
        <f>VLOOKUP(E501,Readme!$A$31:$C$131,2)</f>
        <v>Unharmed / Fresh</v>
      </c>
      <c r="G501">
        <f t="shared" si="31"/>
        <v>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28EFF277-B4B9-4FF3-8C2C-780D7D0B986E}">
            <xm:f>Readme!$A$25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661D7501-8AB9-44FC-A1D9-241647AF0F0A}">
            <xm:f>Readme!$A$24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6" operator="equal" id="{9DEA8909-750D-45F3-B4B7-65A69A608C87}">
            <xm:f>Readme!$A$30</xm:f>
            <x14:dxf>
              <font>
                <color auto="1"/>
              </font>
              <fill>
                <patternFill patternType="none">
                  <bgColor auto="1"/>
                </patternFill>
              </fill>
            </x14:dxf>
          </x14:cfRule>
          <x14:cfRule type="cellIs" priority="7" operator="equal" id="{5FCD5E9E-90D1-4A82-A890-2C59BA231137}">
            <xm:f>Readme!$A$28</xm:f>
            <x14:dxf>
              <font>
                <color theme="0"/>
              </font>
              <fill>
                <patternFill>
                  <bgColor theme="1"/>
                </patternFill>
              </fill>
            </x14:dxf>
          </x14:cfRule>
          <x14:cfRule type="cellIs" priority="8" operator="equal" id="{17967EB4-4615-4808-BA4C-22FFD0ADB32F}">
            <xm:f>Readme!$A$27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" operator="equal" id="{5E4C9555-3349-4DBC-8464-023829393D2C}">
            <xm:f>Readme!$A$26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2" operator="equal" id="{39A30B29-423B-4D93-8BBB-23C1191DCC51}">
            <xm:f>Readme!$A$23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" operator="equal" id="{9BD17CBF-7822-4CBE-AA79-77031258FBA3}">
            <xm:f>Readme!$A$29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Readme</vt:lpstr>
      <vt:lpstr>Combat Encounter Template</vt:lpstr>
      <vt:lpstr>StatusConditions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Reilly</dc:creator>
  <cp:lastModifiedBy>Michael Reilly</cp:lastModifiedBy>
  <dcterms:created xsi:type="dcterms:W3CDTF">2026-05-24T09:07:20Z</dcterms:created>
  <dcterms:modified xsi:type="dcterms:W3CDTF">2026-05-24T12:03:34Z</dcterms:modified>
</cp:coreProperties>
</file>